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13_ncr:1_{6501E097-4FC4-4640-B4D4-3A152B7178F7}" xr6:coauthVersionLast="47" xr6:coauthVersionMax="47" xr10:uidLastSave="{00000000-0000-0000-0000-000000000000}"/>
  <bookViews>
    <workbookView xWindow="-108" yWindow="-108" windowWidth="30936" windowHeight="16776" activeTab="6" xr2:uid="{00000000-000D-0000-FFFF-FFFF00000000}"/>
  </bookViews>
  <sheets>
    <sheet name="ejemplo1" sheetId="1" r:id="rId1"/>
    <sheet name="ejemplo2" sheetId="2" r:id="rId2"/>
    <sheet name="MEDIA" sheetId="3" r:id="rId3"/>
    <sheet name="MODA" sheetId="4" r:id="rId4"/>
    <sheet name="ejemplo5" sheetId="5" r:id="rId5"/>
    <sheet name="MEDIANA" sheetId="6" r:id="rId6"/>
    <sheet name="ejemplo3" sheetId="7" r:id="rId7"/>
    <sheet name="ejemplo4" sheetId="8" r:id="rId8"/>
  </sheets>
  <definedNames>
    <definedName name="_xlnm._FilterDatabase" localSheetId="6" hidden="1">ejemplo3!$B$1:$B$5</definedName>
    <definedName name="_xlnm._FilterDatabase" localSheetId="5" hidden="1">MEDIANA!$B$1:$B$5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5" l="1"/>
  <c r="B24" i="5" s="1" a="1"/>
  <c r="B24" i="5" s="1"/>
  <c r="B17" i="5" a="1"/>
  <c r="B17" i="5" s="1"/>
  <c r="E5" i="4"/>
  <c r="E4" i="4"/>
  <c r="E6" i="8"/>
  <c r="E5" i="8"/>
  <c r="E4" i="7"/>
  <c r="E4" i="6"/>
  <c r="E3" i="6"/>
  <c r="E9" i="4"/>
  <c r="E8" i="4"/>
  <c r="E7" i="4"/>
  <c r="E6" i="4"/>
  <c r="E3" i="4"/>
  <c r="D16" i="3"/>
  <c r="D15" i="3"/>
  <c r="D14" i="3"/>
  <c r="E6" i="3"/>
  <c r="E9" i="3" s="1"/>
  <c r="E4" i="3"/>
  <c r="E3" i="3"/>
  <c r="E5" i="3" s="1"/>
  <c r="B5" i="2"/>
  <c r="B3" i="2" s="1"/>
  <c r="B6" i="1"/>
  <c r="B3" i="1" s="1"/>
  <c r="G11" i="4" l="1"/>
  <c r="G12" i="4"/>
  <c r="E7" i="3"/>
  <c r="E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<sst xmlns="http://schemas.openxmlformats.org/spreadsheetml/2006/main" count="104" uniqueCount="80">
  <si>
    <t>TOTAL GOLES HISTORIA</t>
  </si>
  <si>
    <t>TOTAL GOLES 1970</t>
  </si>
  <si>
    <t>TOTAL DE GOLES EN 2026</t>
  </si>
  <si>
    <t>Porcentaje de goles en un año</t>
  </si>
  <si>
    <t>Gasto combustible año</t>
  </si>
  <si>
    <t>Enero</t>
  </si>
  <si>
    <t>Junio</t>
  </si>
  <si>
    <t>Porcentaje al gasto al mes</t>
  </si>
  <si>
    <t>Juan</t>
  </si>
  <si>
    <t>Pablo</t>
  </si>
  <si>
    <t>Paula</t>
  </si>
  <si>
    <t>Cantidad total</t>
  </si>
  <si>
    <t>David</t>
  </si>
  <si>
    <t>Cantidad muestra (numero de personas)</t>
  </si>
  <si>
    <t>Miriam</t>
  </si>
  <si>
    <t>Media</t>
  </si>
  <si>
    <t>Mario</t>
  </si>
  <si>
    <t>Media excel</t>
  </si>
  <si>
    <t>Reniel</t>
  </si>
  <si>
    <t>redondeo a la alta</t>
  </si>
  <si>
    <t>Joaquin</t>
  </si>
  <si>
    <t>redondeo a la baja</t>
  </si>
  <si>
    <t>redondeo matematico</t>
  </si>
  <si>
    <t>Negro</t>
  </si>
  <si>
    <t>MODA</t>
  </si>
  <si>
    <t>formula de excel antigua solo vale para numeros</t>
  </si>
  <si>
    <t>devuelve el primer valor que lo cumpla</t>
  </si>
  <si>
    <t>Azul</t>
  </si>
  <si>
    <t>MODA.UNO</t>
  </si>
  <si>
    <t>formula de excel moderno solo vale para numeros</t>
  </si>
  <si>
    <t>Rosa</t>
  </si>
  <si>
    <t>MODA.VARIOS</t>
  </si>
  <si>
    <t>formular de excel moderna solo vale para numeros</t>
  </si>
  <si>
    <t>devuelve todas las posibilidades</t>
  </si>
  <si>
    <t>Rojo</t>
  </si>
  <si>
    <t>CONTAR.SI(muestra; Valor)</t>
  </si>
  <si>
    <t>vale para caracteres</t>
  </si>
  <si>
    <t>Verde</t>
  </si>
  <si>
    <t>Blanco</t>
  </si>
  <si>
    <t>Gris</t>
  </si>
  <si>
    <t>MAXIMO</t>
  </si>
  <si>
    <t>MINIMO</t>
  </si>
  <si>
    <t>Talla de zapatilla</t>
  </si>
  <si>
    <t>Pares vendidos en la semana</t>
  </si>
  <si>
    <t>Talla 36</t>
  </si>
  <si>
    <t>Talla 37</t>
  </si>
  <si>
    <t>Talla 38</t>
  </si>
  <si>
    <t>Talla 39</t>
  </si>
  <si>
    <t>Talla 40</t>
  </si>
  <si>
    <t>Talla 41</t>
  </si>
  <si>
    <t>¿Cuál es la moda (o las modas) de las tallas de zapatillas vendidas?</t>
  </si>
  <si>
    <t>"¡La moda es 15!". ¿Por qué se equivoca el empleado nuevo?</t>
  </si>
  <si>
    <t>Como encargado de la tienda, ¿qué decisión tomarías basándote en el resultado de la moda?</t>
  </si>
  <si>
    <t>juan</t>
  </si>
  <si>
    <t>media</t>
  </si>
  <si>
    <t>Miguel</t>
  </si>
  <si>
    <t>mediana</t>
  </si>
  <si>
    <t>Lara</t>
  </si>
  <si>
    <t>Luis</t>
  </si>
  <si>
    <t>Bloop</t>
  </si>
  <si>
    <t>Moco</t>
  </si>
  <si>
    <t>Puff</t>
  </si>
  <si>
    <t>zog</t>
  </si>
  <si>
    <t>Grag</t>
  </si>
  <si>
    <t xml:space="preserve">Recepcionista: </t>
  </si>
  <si>
    <t>Programadora Junior 1</t>
  </si>
  <si>
    <t xml:space="preserve">Programador Junior 2: </t>
  </si>
  <si>
    <t xml:space="preserve">Programadora Senior: </t>
  </si>
  <si>
    <t>Jefe de Proyecto:</t>
  </si>
  <si>
    <t xml:space="preserve">Directora Financiera: </t>
  </si>
  <si>
    <t>Mediana</t>
  </si>
  <si>
    <t xml:space="preserve">Directora de Ventas: </t>
  </si>
  <si>
    <t xml:space="preserve">retencion </t>
  </si>
  <si>
    <t xml:space="preserve">CEO / Dueño de la empresa: </t>
  </si>
  <si>
    <t xml:space="preserve">MODA.VARIOS </t>
  </si>
  <si>
    <t>MÁXIMO</t>
  </si>
  <si>
    <t>Talla 38 y Talla 40</t>
  </si>
  <si>
    <t>Talla 36 y Talla 41</t>
  </si>
  <si>
    <t>Las MODAS son:</t>
  </si>
  <si>
    <t>¿Cuál sería la talla / tallas más vendidas?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</si>
</sst>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6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2"/>
      <color theme="1"/>
      <name val="Play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9" fontId="2" fillId="0" borderId="0" xfId="0" applyNumberFormat="1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6" fontId="4" fillId="0" borderId="0" xfId="0" applyNumberFormat="1" applyFont="1"/>
    <xf numFmtId="0" fontId="4" fillId="0" borderId="0" xfId="0" applyFont="1"/>
    <xf numFmtId="6" fontId="2" fillId="0" borderId="0" xfId="0" applyNumberFormat="1" applyFont="1"/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baseColWidth="10" defaultColWidth="11.19921875" defaultRowHeight="15" customHeight="1"/>
  <cols>
    <col min="1" max="1" width="25.796875" customWidth="1"/>
    <col min="2" max="2" width="18.69921875" customWidth="1"/>
    <col min="3" max="26" width="10.59765625" customWidth="1"/>
  </cols>
  <sheetData>
    <row r="1" spans="1:3" ht="15.75" customHeight="1">
      <c r="A1" s="1" t="s">
        <v>0</v>
      </c>
      <c r="B1" s="1">
        <v>5500</v>
      </c>
    </row>
    <row r="2" spans="1:3" ht="15.75" customHeight="1">
      <c r="A2" s="1" t="s">
        <v>1</v>
      </c>
      <c r="B2" s="1">
        <v>120</v>
      </c>
    </row>
    <row r="3" spans="1:3" ht="15.75" customHeight="1">
      <c r="A3" s="1" t="s">
        <v>2</v>
      </c>
      <c r="B3" s="1">
        <f>B1*B6</f>
        <v>120.00000000000001</v>
      </c>
    </row>
    <row r="4" spans="1:3" ht="15.75" customHeight="1">
      <c r="C4" s="2"/>
    </row>
    <row r="5" spans="1:3" ht="15.75" customHeight="1"/>
    <row r="6" spans="1:3" ht="15.75" customHeight="1">
      <c r="A6" s="1" t="s">
        <v>3</v>
      </c>
      <c r="B6" s="3">
        <f>B2/B1</f>
        <v>2.181818181818182E-2</v>
      </c>
    </row>
    <row r="7" spans="1:3" ht="15.75" customHeight="1"/>
    <row r="8" spans="1:3" ht="15.75" customHeight="1"/>
    <row r="9" spans="1:3" ht="15.75" customHeight="1"/>
    <row r="10" spans="1:3" ht="15.75" customHeight="1"/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19921875" defaultRowHeight="15" customHeight="1"/>
  <cols>
    <col min="1" max="1" width="25" customWidth="1"/>
    <col min="2" max="2" width="13" customWidth="1"/>
    <col min="3" max="26" width="10.59765625" customWidth="1"/>
  </cols>
  <sheetData>
    <row r="1" spans="1:2" ht="15.75" customHeight="1">
      <c r="A1" s="1" t="s">
        <v>4</v>
      </c>
      <c r="B1" s="1">
        <v>2300</v>
      </c>
    </row>
    <row r="2" spans="1:2" ht="15.75" customHeight="1">
      <c r="A2" s="1" t="s">
        <v>5</v>
      </c>
      <c r="B2" s="1">
        <v>300</v>
      </c>
    </row>
    <row r="3" spans="1:2" ht="15.75" customHeight="1">
      <c r="A3" s="1" t="s">
        <v>6</v>
      </c>
      <c r="B3" s="1">
        <f>B1*B5</f>
        <v>300</v>
      </c>
    </row>
    <row r="4" spans="1:2" ht="15.75" customHeight="1"/>
    <row r="5" spans="1:2" ht="15.75" customHeight="1">
      <c r="A5" s="1" t="s">
        <v>7</v>
      </c>
      <c r="B5" s="1">
        <f>B2/B1</f>
        <v>0.13043478260869565</v>
      </c>
    </row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1.19921875" defaultRowHeight="15" customHeight="1"/>
  <cols>
    <col min="1" max="1" width="16.296875" customWidth="1"/>
    <col min="2" max="3" width="10.59765625" customWidth="1"/>
    <col min="4" max="4" width="34.09765625" customWidth="1"/>
    <col min="5" max="5" width="15.09765625" customWidth="1"/>
    <col min="6" max="26" width="10.59765625" customWidth="1"/>
  </cols>
  <sheetData>
    <row r="1" spans="1:5" ht="15.75" customHeight="1">
      <c r="A1" s="1" t="s">
        <v>8</v>
      </c>
      <c r="B1" s="1">
        <v>12</v>
      </c>
    </row>
    <row r="2" spans="1:5" ht="15.75" customHeight="1">
      <c r="A2" s="1" t="s">
        <v>9</v>
      </c>
      <c r="B2" s="1">
        <v>3</v>
      </c>
    </row>
    <row r="3" spans="1:5" ht="15.75" customHeight="1">
      <c r="A3" s="1" t="s">
        <v>10</v>
      </c>
      <c r="B3" s="1">
        <v>34</v>
      </c>
      <c r="D3" s="1" t="s">
        <v>11</v>
      </c>
      <c r="E3" s="1">
        <f>SUM(B:B)</f>
        <v>211</v>
      </c>
    </row>
    <row r="4" spans="1:5" ht="15.75" customHeight="1">
      <c r="A4" s="1" t="s">
        <v>12</v>
      </c>
      <c r="B4" s="1">
        <v>2</v>
      </c>
      <c r="D4" s="1" t="s">
        <v>13</v>
      </c>
      <c r="E4" s="1">
        <f>COUNTA(A:A)</f>
        <v>8</v>
      </c>
    </row>
    <row r="5" spans="1:5" ht="15.75" customHeight="1">
      <c r="A5" s="1" t="s">
        <v>14</v>
      </c>
      <c r="B5" s="1">
        <v>100</v>
      </c>
      <c r="D5" s="1" t="s">
        <v>15</v>
      </c>
      <c r="E5" s="1">
        <f>E3/E4</f>
        <v>26.375</v>
      </c>
    </row>
    <row r="6" spans="1:5" ht="15.75" customHeight="1">
      <c r="A6" s="1" t="s">
        <v>16</v>
      </c>
      <c r="B6" s="1">
        <v>12</v>
      </c>
      <c r="D6" s="1" t="s">
        <v>17</v>
      </c>
      <c r="E6" s="1">
        <f>AVERAGE(B:B)</f>
        <v>26.375</v>
      </c>
    </row>
    <row r="7" spans="1:5" ht="15.75" customHeight="1">
      <c r="A7" s="1" t="s">
        <v>18</v>
      </c>
      <c r="B7" s="1">
        <v>35</v>
      </c>
      <c r="D7" s="1" t="s">
        <v>19</v>
      </c>
      <c r="E7" s="1">
        <f>ROUNDUP(E6,0)</f>
        <v>27</v>
      </c>
    </row>
    <row r="8" spans="1:5" ht="15.75" customHeight="1">
      <c r="A8" s="1" t="s">
        <v>20</v>
      </c>
      <c r="B8" s="1">
        <v>13</v>
      </c>
      <c r="D8" s="1" t="s">
        <v>21</v>
      </c>
      <c r="E8" s="1">
        <f>ROUNDDOWN(E6,0)</f>
        <v>26</v>
      </c>
    </row>
    <row r="9" spans="1:5" ht="15.75" customHeight="1">
      <c r="D9" s="1" t="s">
        <v>22</v>
      </c>
      <c r="E9" s="1">
        <f>ROUND(E6,0)</f>
        <v>26</v>
      </c>
    </row>
    <row r="10" spans="1:5" ht="15.75" customHeight="1"/>
    <row r="11" spans="1:5" ht="15.75" customHeight="1"/>
    <row r="12" spans="1:5" ht="15.75" customHeight="1"/>
    <row r="13" spans="1:5" ht="15.75" customHeight="1">
      <c r="D13" s="1">
        <v>23.456700000000001</v>
      </c>
    </row>
    <row r="14" spans="1:5" ht="15.75" customHeight="1">
      <c r="D14" s="1">
        <f>ROUNDDOWN(D13,2)</f>
        <v>23.45</v>
      </c>
    </row>
    <row r="15" spans="1:5" ht="15.75" customHeight="1">
      <c r="D15" s="1">
        <f>ROUNDUP(D13,2)</f>
        <v>23.46</v>
      </c>
    </row>
    <row r="16" spans="1:5" ht="15.75" customHeight="1">
      <c r="D16" s="1">
        <f>ROUND(D13,2)</f>
        <v>23.46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E5" sqref="E5"/>
    </sheetView>
  </sheetViews>
  <sheetFormatPr baseColWidth="10" defaultColWidth="11.19921875" defaultRowHeight="15" customHeight="1"/>
  <cols>
    <col min="1" max="4" width="10.59765625" customWidth="1"/>
    <col min="5" max="5" width="27.69921875" customWidth="1"/>
    <col min="6" max="6" width="23.3984375" customWidth="1"/>
    <col min="7" max="7" width="42.09765625" customWidth="1"/>
    <col min="8" max="8" width="32.296875" customWidth="1"/>
    <col min="9" max="26" width="10.59765625" customWidth="1"/>
  </cols>
  <sheetData>
    <row r="1" spans="1:8" ht="15.75" customHeight="1">
      <c r="A1" s="1" t="s">
        <v>23</v>
      </c>
      <c r="F1" s="1" t="s">
        <v>24</v>
      </c>
      <c r="G1" s="1" t="s">
        <v>25</v>
      </c>
      <c r="H1" s="1" t="s">
        <v>26</v>
      </c>
    </row>
    <row r="2" spans="1:8" ht="15.75" customHeight="1">
      <c r="A2" s="1" t="s">
        <v>27</v>
      </c>
      <c r="F2" s="1" t="s">
        <v>28</v>
      </c>
      <c r="G2" s="1" t="s">
        <v>29</v>
      </c>
      <c r="H2" s="1" t="s">
        <v>26</v>
      </c>
    </row>
    <row r="3" spans="1:8" ht="15.75" customHeight="1">
      <c r="A3" s="1" t="s">
        <v>30</v>
      </c>
      <c r="C3" s="1" t="s">
        <v>27</v>
      </c>
      <c r="D3" s="1">
        <v>2</v>
      </c>
      <c r="E3" s="1">
        <f>COUNTIF($A$1:$A$15,C3)</f>
        <v>2</v>
      </c>
      <c r="F3" s="1" t="s">
        <v>31</v>
      </c>
      <c r="G3" s="1" t="s">
        <v>32</v>
      </c>
      <c r="H3" s="1" t="s">
        <v>33</v>
      </c>
    </row>
    <row r="4" spans="1:8" ht="15.75" customHeight="1">
      <c r="A4" s="1" t="s">
        <v>34</v>
      </c>
      <c r="C4" s="1" t="s">
        <v>23</v>
      </c>
      <c r="D4" s="1">
        <v>3</v>
      </c>
      <c r="E4" s="1">
        <f>COUNTIF(A:A,C4)</f>
        <v>3</v>
      </c>
      <c r="F4" s="1" t="s">
        <v>35</v>
      </c>
      <c r="G4" s="1" t="s">
        <v>36</v>
      </c>
    </row>
    <row r="5" spans="1:8" ht="15.75" customHeight="1">
      <c r="A5" s="1" t="s">
        <v>37</v>
      </c>
      <c r="C5" s="4" t="s">
        <v>30</v>
      </c>
      <c r="D5" s="4">
        <v>4</v>
      </c>
      <c r="E5" s="1">
        <f>COUNTIF(A:A,C5)</f>
        <v>4</v>
      </c>
    </row>
    <row r="6" spans="1:8" ht="15.75" customHeight="1">
      <c r="A6" s="1" t="s">
        <v>37</v>
      </c>
      <c r="C6" s="1" t="s">
        <v>37</v>
      </c>
      <c r="D6" s="1">
        <v>3</v>
      </c>
      <c r="E6" s="1">
        <f t="shared" ref="E4:E9" si="0">COUNTIF(A:A,C6)</f>
        <v>3</v>
      </c>
    </row>
    <row r="7" spans="1:8" ht="15.75" customHeight="1">
      <c r="A7" s="1" t="s">
        <v>30</v>
      </c>
      <c r="C7" s="1" t="s">
        <v>38</v>
      </c>
      <c r="D7" s="1">
        <v>1</v>
      </c>
      <c r="E7" s="1">
        <f t="shared" si="0"/>
        <v>1</v>
      </c>
    </row>
    <row r="8" spans="1:8" ht="15.75" customHeight="1">
      <c r="A8" s="1" t="s">
        <v>23</v>
      </c>
      <c r="C8" s="1" t="s">
        <v>39</v>
      </c>
      <c r="D8" s="1">
        <v>1</v>
      </c>
      <c r="E8" s="1">
        <f t="shared" si="0"/>
        <v>1</v>
      </c>
    </row>
    <row r="9" spans="1:8" ht="15.75" customHeight="1">
      <c r="A9" s="1" t="s">
        <v>38</v>
      </c>
      <c r="C9" s="1" t="s">
        <v>34</v>
      </c>
      <c r="D9" s="1">
        <v>1</v>
      </c>
      <c r="E9" s="1">
        <f t="shared" si="0"/>
        <v>1</v>
      </c>
    </row>
    <row r="10" spans="1:8" ht="15.75" customHeight="1">
      <c r="A10" s="1" t="s">
        <v>39</v>
      </c>
    </row>
    <row r="11" spans="1:8" ht="15.75" customHeight="1">
      <c r="A11" s="1" t="s">
        <v>27</v>
      </c>
      <c r="F11" s="1" t="s">
        <v>40</v>
      </c>
      <c r="G11" s="1">
        <f>MAX(E3:E9)</f>
        <v>4</v>
      </c>
    </row>
    <row r="12" spans="1:8" ht="15.75" customHeight="1">
      <c r="A12" s="1" t="s">
        <v>23</v>
      </c>
      <c r="F12" s="1" t="s">
        <v>41</v>
      </c>
      <c r="G12" s="1">
        <f>MIN(E3:E9)</f>
        <v>1</v>
      </c>
    </row>
    <row r="13" spans="1:8" ht="15.75" customHeight="1">
      <c r="A13" s="1" t="s">
        <v>30</v>
      </c>
    </row>
    <row r="14" spans="1:8" ht="15.75" customHeight="1">
      <c r="A14" s="1" t="s">
        <v>37</v>
      </c>
    </row>
    <row r="15" spans="1:8" ht="15.75" customHeight="1">
      <c r="A15" s="1" t="s">
        <v>30</v>
      </c>
    </row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1"/>
  <sheetViews>
    <sheetView workbookViewId="0">
      <selection activeCell="B7" sqref="B7"/>
    </sheetView>
  </sheetViews>
  <sheetFormatPr baseColWidth="10" defaultColWidth="11.19921875" defaultRowHeight="15" customHeight="1"/>
  <cols>
    <col min="1" max="1" width="14.69921875" customWidth="1"/>
    <col min="2" max="2" width="24.296875" customWidth="1"/>
    <col min="3" max="3" width="10.59765625" customWidth="1"/>
    <col min="4" max="4" width="16.796875" customWidth="1"/>
    <col min="5" max="26" width="10.59765625" customWidth="1"/>
  </cols>
  <sheetData>
    <row r="1" spans="1:4" ht="15.75" customHeight="1">
      <c r="A1" s="1" t="s">
        <v>42</v>
      </c>
      <c r="B1" s="1" t="s">
        <v>43</v>
      </c>
    </row>
    <row r="2" spans="1:4" ht="15.75" customHeight="1">
      <c r="A2" s="1" t="s">
        <v>44</v>
      </c>
      <c r="B2" s="1">
        <v>4</v>
      </c>
    </row>
    <row r="3" spans="1:4" ht="15.75" customHeight="1">
      <c r="A3" s="1" t="s">
        <v>45</v>
      </c>
      <c r="B3" s="1">
        <v>7</v>
      </c>
    </row>
    <row r="4" spans="1:4" ht="15.75" customHeight="1">
      <c r="A4" s="1" t="s">
        <v>46</v>
      </c>
      <c r="B4" s="1">
        <v>15</v>
      </c>
    </row>
    <row r="5" spans="1:4" ht="15.75" customHeight="1">
      <c r="A5" s="1" t="s">
        <v>47</v>
      </c>
      <c r="B5" s="1">
        <v>12</v>
      </c>
    </row>
    <row r="6" spans="1:4" ht="15.75" customHeight="1">
      <c r="A6" s="1" t="s">
        <v>48</v>
      </c>
      <c r="B6" s="1">
        <v>15</v>
      </c>
    </row>
    <row r="7" spans="1:4" ht="15.75" customHeight="1">
      <c r="A7" s="1" t="s">
        <v>49</v>
      </c>
      <c r="B7" s="1">
        <v>4</v>
      </c>
    </row>
    <row r="8" spans="1:4" ht="15.75" customHeight="1"/>
    <row r="9" spans="1:4" ht="15.75" customHeight="1"/>
    <row r="10" spans="1:4" ht="15.75" customHeight="1">
      <c r="B10" s="1" t="s">
        <v>50</v>
      </c>
    </row>
    <row r="11" spans="1:4" ht="15.75" customHeight="1">
      <c r="B11" s="1" t="s">
        <v>51</v>
      </c>
    </row>
    <row r="12" spans="1:4" ht="15.75" customHeight="1">
      <c r="B12" s="1" t="s">
        <v>52</v>
      </c>
    </row>
    <row r="13" spans="1:4" ht="15.75" customHeight="1"/>
    <row r="14" spans="1:4" ht="15.75" customHeight="1"/>
    <row r="15" spans="1:4" ht="15.75" customHeight="1"/>
    <row r="16" spans="1:4" ht="15.75" customHeight="1">
      <c r="D16" t="s">
        <v>78</v>
      </c>
    </row>
    <row r="17" spans="1:5" ht="15.75" customHeight="1">
      <c r="A17" t="s">
        <v>74</v>
      </c>
      <c r="B17" cm="1">
        <f t="array" ref="B17:B18">_xlfn.MODE.MULT(B2:B7)</f>
        <v>4</v>
      </c>
      <c r="D17" t="s">
        <v>77</v>
      </c>
    </row>
    <row r="18" spans="1:5" ht="15.75" customHeight="1">
      <c r="B18">
        <v>15</v>
      </c>
      <c r="D18" t="s">
        <v>76</v>
      </c>
    </row>
    <row r="19" spans="1:5" ht="15.75" customHeight="1"/>
    <row r="20" spans="1:5" ht="15.75" customHeight="1">
      <c r="A20" t="s">
        <v>75</v>
      </c>
      <c r="B20">
        <f>MAX(B2:B7)</f>
        <v>15</v>
      </c>
    </row>
    <row r="21" spans="1:5" ht="15.75" customHeight="1"/>
    <row r="22" spans="1:5" ht="15.75" customHeight="1"/>
    <row r="23" spans="1:5" ht="15.75" customHeight="1">
      <c r="B23" s="10" t="s">
        <v>79</v>
      </c>
      <c r="C23" s="10"/>
      <c r="D23" s="10"/>
      <c r="E23" s="10"/>
    </row>
    <row r="24" spans="1:5" ht="15.75" customHeight="1">
      <c r="B24" t="str" cm="1">
        <f t="array" ref="B24:B25">_xlfn._xlws.FILTER(A2:A7,B2:B7=B20)</f>
        <v>Talla 38</v>
      </c>
    </row>
    <row r="25" spans="1:5" ht="15.75" customHeight="1">
      <c r="B25" t="str">
        <v>Talla 40</v>
      </c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23:E2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baseColWidth="10" defaultColWidth="11.19921875" defaultRowHeight="15" customHeight="1"/>
  <cols>
    <col min="1" max="4" width="10.59765625" customWidth="1"/>
    <col min="5" max="5" width="11.296875" customWidth="1"/>
    <col min="6" max="26" width="10.59765625" customWidth="1"/>
  </cols>
  <sheetData>
    <row r="1" spans="1:5" ht="15.75" customHeight="1">
      <c r="A1" s="1" t="s">
        <v>18</v>
      </c>
      <c r="B1" s="1">
        <v>4</v>
      </c>
    </row>
    <row r="2" spans="1:5" ht="15.75" customHeight="1">
      <c r="A2" s="1" t="s">
        <v>53</v>
      </c>
      <c r="B2" s="1">
        <v>2</v>
      </c>
    </row>
    <row r="3" spans="1:5" ht="15.75" customHeight="1">
      <c r="A3" s="1" t="s">
        <v>12</v>
      </c>
      <c r="B3" s="1">
        <v>5</v>
      </c>
      <c r="D3" s="1" t="s">
        <v>54</v>
      </c>
      <c r="E3" s="1">
        <f>AVERAGE(B:B)</f>
        <v>28.2</v>
      </c>
    </row>
    <row r="4" spans="1:5" ht="15.75" customHeight="1">
      <c r="A4" s="1" t="s">
        <v>55</v>
      </c>
      <c r="B4" s="1">
        <v>10</v>
      </c>
      <c r="D4" s="1" t="s">
        <v>56</v>
      </c>
      <c r="E4" s="1">
        <f>MEDIAN(B:B)</f>
        <v>13</v>
      </c>
    </row>
    <row r="5" spans="1:5" ht="15.75" customHeight="1">
      <c r="A5" s="1" t="s">
        <v>57</v>
      </c>
      <c r="B5" s="1">
        <v>12</v>
      </c>
    </row>
    <row r="6" spans="1:5" ht="15.75" customHeight="1">
      <c r="A6" s="1" t="s">
        <v>16</v>
      </c>
      <c r="B6" s="1">
        <v>14</v>
      </c>
    </row>
    <row r="7" spans="1:5" ht="15.75" customHeight="1">
      <c r="A7" s="1" t="s">
        <v>58</v>
      </c>
      <c r="B7" s="1">
        <v>15</v>
      </c>
    </row>
    <row r="8" spans="1:5" ht="15.75" customHeight="1">
      <c r="A8" s="1" t="s">
        <v>10</v>
      </c>
      <c r="B8" s="1">
        <v>20</v>
      </c>
    </row>
    <row r="9" spans="1:5" ht="15.75" customHeight="1">
      <c r="A9" s="1" t="s">
        <v>9</v>
      </c>
      <c r="B9" s="1">
        <v>80</v>
      </c>
    </row>
    <row r="10" spans="1:5" ht="15.75" customHeight="1">
      <c r="A10" s="1" t="s">
        <v>14</v>
      </c>
      <c r="B10" s="1">
        <v>120</v>
      </c>
    </row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1:B5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tabSelected="1" workbookViewId="0"/>
  </sheetViews>
  <sheetFormatPr baseColWidth="10" defaultColWidth="11.19921875" defaultRowHeight="15" customHeight="1"/>
  <cols>
    <col min="1" max="4" width="10.59765625" customWidth="1"/>
    <col min="5" max="5" width="11.296875" customWidth="1"/>
    <col min="6" max="26" width="10.59765625" customWidth="1"/>
  </cols>
  <sheetData>
    <row r="1" spans="1:5" ht="15.75" customHeight="1">
      <c r="A1" s="1" t="s">
        <v>59</v>
      </c>
      <c r="B1" s="1">
        <v>3</v>
      </c>
    </row>
    <row r="2" spans="1:5" ht="15.75" customHeight="1">
      <c r="A2" s="1" t="s">
        <v>60</v>
      </c>
      <c r="B2" s="1">
        <v>5</v>
      </c>
    </row>
    <row r="3" spans="1:5" ht="15.75" customHeight="1">
      <c r="A3" s="1" t="s">
        <v>61</v>
      </c>
      <c r="B3" s="1">
        <v>8</v>
      </c>
    </row>
    <row r="4" spans="1:5" ht="15.75" customHeight="1">
      <c r="A4" s="1" t="s">
        <v>62</v>
      </c>
      <c r="B4" s="1">
        <v>12</v>
      </c>
      <c r="D4" s="1" t="s">
        <v>56</v>
      </c>
      <c r="E4" s="1">
        <f>MEDIAN(B:B)</f>
        <v>8</v>
      </c>
    </row>
    <row r="5" spans="1:5" ht="15.75" customHeight="1">
      <c r="A5" s="1" t="s">
        <v>63</v>
      </c>
      <c r="B5" s="1">
        <v>100</v>
      </c>
    </row>
    <row r="6" spans="1:5" ht="15.75" customHeight="1"/>
    <row r="7" spans="1:5" ht="15.75" customHeight="1"/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1:B5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baseColWidth="10" defaultColWidth="11.19921875" defaultRowHeight="15" customHeight="1"/>
  <cols>
    <col min="1" max="1" width="34.09765625" customWidth="1"/>
    <col min="2" max="2" width="23.796875" customWidth="1"/>
    <col min="3" max="4" width="10.59765625" customWidth="1"/>
    <col min="5" max="5" width="11.296875" customWidth="1"/>
    <col min="6" max="26" width="10.59765625" customWidth="1"/>
  </cols>
  <sheetData>
    <row r="1" spans="1:5" ht="15.75" customHeight="1">
      <c r="A1" s="5" t="s">
        <v>64</v>
      </c>
      <c r="B1" s="6">
        <v>18000</v>
      </c>
    </row>
    <row r="2" spans="1:5" ht="15.75" customHeight="1">
      <c r="A2" s="7" t="s">
        <v>65</v>
      </c>
      <c r="B2" s="6">
        <v>20000</v>
      </c>
    </row>
    <row r="3" spans="1:5" ht="15.75" customHeight="1">
      <c r="A3" s="5" t="s">
        <v>66</v>
      </c>
      <c r="B3" s="6">
        <v>21000</v>
      </c>
    </row>
    <row r="4" spans="1:5" ht="15.75" customHeight="1">
      <c r="A4" s="7" t="s">
        <v>67</v>
      </c>
      <c r="B4" s="6">
        <v>28000</v>
      </c>
    </row>
    <row r="5" spans="1:5" ht="15.75" customHeight="1">
      <c r="A5" s="5" t="s">
        <v>68</v>
      </c>
      <c r="B5" s="6">
        <v>35000</v>
      </c>
      <c r="D5" s="1" t="s">
        <v>15</v>
      </c>
      <c r="E5" s="8">
        <f>AVERAGE(B:B)</f>
        <v>71375</v>
      </c>
    </row>
    <row r="6" spans="1:5" ht="15.75" customHeight="1">
      <c r="A6" s="7" t="s">
        <v>69</v>
      </c>
      <c r="B6" s="6">
        <v>60000</v>
      </c>
      <c r="D6" s="1" t="s">
        <v>70</v>
      </c>
      <c r="E6" s="8">
        <f>MEDIAN(B:B)</f>
        <v>31500</v>
      </c>
    </row>
    <row r="7" spans="1:5" ht="15.75" customHeight="1">
      <c r="A7" s="5" t="s">
        <v>71</v>
      </c>
      <c r="B7" s="6">
        <v>89000</v>
      </c>
      <c r="D7" s="1" t="s">
        <v>72</v>
      </c>
      <c r="E7" s="2">
        <v>0.18</v>
      </c>
    </row>
    <row r="8" spans="1:5" ht="15.75" customHeight="1">
      <c r="A8" s="5" t="s">
        <v>73</v>
      </c>
      <c r="B8" s="6">
        <v>300000</v>
      </c>
    </row>
    <row r="9" spans="1:5" ht="15.75" customHeight="1">
      <c r="A9" s="9"/>
    </row>
    <row r="10" spans="1:5" ht="15.75" customHeight="1"/>
    <row r="11" spans="1:5" ht="15.75" customHeight="1">
      <c r="A11" s="9"/>
    </row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ejemplo1</vt:lpstr>
      <vt:lpstr>ejemplo2</vt:lpstr>
      <vt:lpstr>MEDIA</vt:lpstr>
      <vt:lpstr>MODA</vt:lpstr>
      <vt:lpstr>ejemplo5</vt:lpstr>
      <vt:lpstr>MEDIANA</vt:lpstr>
      <vt:lpstr>ejemplo3</vt:lpstr>
      <vt:lpstr>ejemplo4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XTALENTO 109</cp:lastModifiedBy>
  <dcterms:modified xsi:type="dcterms:W3CDTF">2026-03-04T11:31:07Z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2026-03-04T09:57:41Z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6f3b65da-359d-43f1-8c75-2f9f3c71496b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