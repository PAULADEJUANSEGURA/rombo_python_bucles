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M\Documents\curso_big_data_paula\ejercicio_rombo_y_estadistica_excel\estadistica-ejercicio-finde\"/>
    </mc:Choice>
  </mc:AlternateContent>
  <xr:revisionPtr revIDLastSave="0" documentId="13_ncr:1_{AB5BCEFD-9E19-4FB5-9166-64D7D5C24C22}" xr6:coauthVersionLast="47" xr6:coauthVersionMax="47" xr10:uidLastSave="{00000000-0000-0000-0000-000000000000}"/>
  <bookViews>
    <workbookView xWindow="-108" yWindow="-108" windowWidth="30936" windowHeight="16776" activeTab="5" xr2:uid="{07B98707-5781-4DBF-A1F8-245D495EAD3C}"/>
  </bookViews>
  <sheets>
    <sheet name="Hoja1" sheetId="1" r:id="rId1"/>
    <sheet name="Hoja2" sheetId="2" r:id="rId2"/>
    <sheet name="Hoja3" sheetId="3" r:id="rId3"/>
    <sheet name="MEDIANA" sheetId="4" r:id="rId4"/>
    <sheet name="Monstruo_Choco_Crunch" sheetId="5" r:id="rId5"/>
    <sheet name="Oferta_Trabajo" sheetId="6" r:id="rId6"/>
  </sheets>
  <definedNames>
    <definedName name="_xlnm._FilterDatabase" localSheetId="3" hidden="1">MEDIANA!$A$1:$B$8</definedName>
    <definedName name="_xlnm._FilterDatabase" localSheetId="4" hidden="1">Monstruo_Choco_Crunch!$B$1:$B$6</definedName>
    <definedName name="_xlnm._FilterDatabase" localSheetId="5" hidden="1">Oferta_Trabajo!$A$1:$B$8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6" l="1"/>
  <c r="C10" i="6"/>
  <c r="G6" i="5"/>
  <c r="H8" i="4"/>
  <c r="H6" i="4"/>
  <c r="G16" i="3"/>
  <c r="G15" i="3"/>
  <c r="G14" i="3"/>
  <c r="G11" i="3"/>
  <c r="G9" i="3"/>
  <c r="G10" i="3" s="1"/>
  <c r="G3" i="3"/>
  <c r="G5" i="3"/>
  <c r="B7" i="2"/>
  <c r="B3" i="2" s="1"/>
  <c r="B3" i="1"/>
  <c r="B5" i="1"/>
  <c r="G7" i="3" l="1"/>
</calcChain>
</file>

<file path=xl/sharedStrings.xml><?xml version="1.0" encoding="utf-8"?>
<sst xmlns="http://schemas.openxmlformats.org/spreadsheetml/2006/main" count="56" uniqueCount="50">
  <si>
    <t>Goles en la historia</t>
  </si>
  <si>
    <t>Total goles 1970</t>
  </si>
  <si>
    <t>Total goles 2026</t>
  </si>
  <si>
    <t>Porcentaje goles en 1 año</t>
  </si>
  <si>
    <t>Gasto combustible al año</t>
  </si>
  <si>
    <t>Enero</t>
  </si>
  <si>
    <t>Junio</t>
  </si>
  <si>
    <t>Porcentaje mensual</t>
  </si>
  <si>
    <t>Juan</t>
  </si>
  <si>
    <t>Pablo</t>
  </si>
  <si>
    <t>Paula</t>
  </si>
  <si>
    <t>David</t>
  </si>
  <si>
    <t>Miriam</t>
  </si>
  <si>
    <t>Mario</t>
  </si>
  <si>
    <t>Cantidad TOTAL</t>
  </si>
  <si>
    <t>Cantidad muestra (nº de personas)</t>
  </si>
  <si>
    <t>MEDIA = Cantidad TOTAL / PERSONAS</t>
  </si>
  <si>
    <t>Reniel</t>
  </si>
  <si>
    <t>Media en Excel PROMEDIO</t>
  </si>
  <si>
    <t>Redondedo a la ALTA</t>
  </si>
  <si>
    <t>Redondedo a la BAJA</t>
  </si>
  <si>
    <t>Joaquín</t>
  </si>
  <si>
    <t>Redondeo Matemático</t>
  </si>
  <si>
    <t>Redondeo a la BAJA</t>
  </si>
  <si>
    <t>Redondeo a la ALTA</t>
  </si>
  <si>
    <t xml:space="preserve">Pablo </t>
  </si>
  <si>
    <t>Lara</t>
  </si>
  <si>
    <t>Miguel Angel</t>
  </si>
  <si>
    <t>Luis</t>
  </si>
  <si>
    <t>PROMEDIO (Media)</t>
  </si>
  <si>
    <t>MEDIANA</t>
  </si>
  <si>
    <t>Y si fuera par en lugar de impar?</t>
  </si>
  <si>
    <t xml:space="preserve">Reniel </t>
  </si>
  <si>
    <t>Hace la media de los últimos 2 valores</t>
  </si>
  <si>
    <t>Juanan</t>
  </si>
  <si>
    <t>Zog</t>
  </si>
  <si>
    <t>Bloop</t>
  </si>
  <si>
    <t>Garg</t>
  </si>
  <si>
    <t>Puff</t>
  </si>
  <si>
    <t>Moco</t>
  </si>
  <si>
    <t>Recepcionista</t>
  </si>
  <si>
    <t>Programadora Junior 2</t>
  </si>
  <si>
    <t>Programadora Junior 1</t>
  </si>
  <si>
    <t>Programadora Senior</t>
  </si>
  <si>
    <t>Jefe de Proyecto</t>
  </si>
  <si>
    <t>Dirfectora Financiera</t>
  </si>
  <si>
    <t>Directora de Ventas</t>
  </si>
  <si>
    <t>CEO / Dueño de la empresa</t>
  </si>
  <si>
    <t xml:space="preserve">MEDIA </t>
  </si>
  <si>
    <t>retencion IRPF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</si>
</sst>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9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8A683-D84F-46E9-B302-34215E79266D}">
  <dimension ref="A1:F8"/>
  <sheetViews>
    <sheetView zoomScale="153" zoomScaleNormal="153" workbookViewId="0">
      <selection activeCell="B4" sqref="B4"/>
    </sheetView>
  </sheetViews>
  <sheetFormatPr baseColWidth="10" defaultRowHeight="14.4" x14ac:dyDescent="0.3"/>
  <cols>
    <col min="1" max="1" width="23.109375" customWidth="1"/>
    <col min="2" max="2" width="17.88671875" customWidth="1"/>
    <col min="3" max="3" width="17.21875" customWidth="1"/>
  </cols>
  <sheetData>
    <row r="1" spans="1:6" x14ac:dyDescent="0.3">
      <c r="A1" t="s">
        <v>0</v>
      </c>
      <c r="B1">
        <v>5500</v>
      </c>
    </row>
    <row r="2" spans="1:6" x14ac:dyDescent="0.3">
      <c r="A2" t="s">
        <v>1</v>
      </c>
      <c r="B2">
        <v>120</v>
      </c>
      <c r="D2" s="1"/>
    </row>
    <row r="3" spans="1:6" x14ac:dyDescent="0.3">
      <c r="A3" t="s">
        <v>2</v>
      </c>
      <c r="B3">
        <f>B1*B5/100</f>
        <v>120</v>
      </c>
      <c r="D3" s="1"/>
    </row>
    <row r="5" spans="1:6" x14ac:dyDescent="0.3">
      <c r="A5" t="s">
        <v>3</v>
      </c>
      <c r="B5" s="4">
        <f>B2*100/B1</f>
        <v>2.1818181818181817</v>
      </c>
    </row>
    <row r="6" spans="1:6" x14ac:dyDescent="0.3">
      <c r="F6" s="1"/>
    </row>
    <row r="7" spans="1:6" x14ac:dyDescent="0.3">
      <c r="D7" s="2"/>
      <c r="F7" s="1"/>
    </row>
    <row r="8" spans="1:6" x14ac:dyDescent="0.3">
      <c r="D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2AD4-590F-429B-AF48-C74C6BD9A498}">
  <dimension ref="A1:B7"/>
  <sheetViews>
    <sheetView zoomScale="170" zoomScaleNormal="170" workbookViewId="0">
      <selection activeCell="A3" sqref="A3"/>
    </sheetView>
  </sheetViews>
  <sheetFormatPr baseColWidth="10" defaultRowHeight="14.4" x14ac:dyDescent="0.3"/>
  <cols>
    <col min="1" max="1" width="37.77734375" customWidth="1"/>
  </cols>
  <sheetData>
    <row r="1" spans="1:2" x14ac:dyDescent="0.3">
      <c r="A1" t="s">
        <v>4</v>
      </c>
      <c r="B1">
        <v>2300</v>
      </c>
    </row>
    <row r="2" spans="1:2" x14ac:dyDescent="0.3">
      <c r="A2" t="s">
        <v>5</v>
      </c>
      <c r="B2">
        <v>300</v>
      </c>
    </row>
    <row r="3" spans="1:2" x14ac:dyDescent="0.3">
      <c r="A3" t="s">
        <v>6</v>
      </c>
      <c r="B3">
        <f>B1*B7</f>
        <v>300</v>
      </c>
    </row>
    <row r="7" spans="1:2" x14ac:dyDescent="0.3">
      <c r="A7" t="s">
        <v>7</v>
      </c>
      <c r="B7">
        <f>B2/B1</f>
        <v>0.13043478260869565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CDBB-D669-4771-8283-A3DEB2B6FF13}">
  <dimension ref="A1:G16"/>
  <sheetViews>
    <sheetView zoomScale="153" zoomScaleNormal="153" workbookViewId="0">
      <selection activeCell="G16" sqref="G16"/>
    </sheetView>
  </sheetViews>
  <sheetFormatPr baseColWidth="10" defaultRowHeight="14.4" x14ac:dyDescent="0.3"/>
  <cols>
    <col min="7" max="7" width="29.21875" customWidth="1"/>
  </cols>
  <sheetData>
    <row r="1" spans="1:7" x14ac:dyDescent="0.3">
      <c r="A1" t="s">
        <v>8</v>
      </c>
      <c r="B1">
        <v>12</v>
      </c>
    </row>
    <row r="2" spans="1:7" x14ac:dyDescent="0.3">
      <c r="A2" t="s">
        <v>9</v>
      </c>
      <c r="B2">
        <v>3</v>
      </c>
    </row>
    <row r="3" spans="1:7" x14ac:dyDescent="0.3">
      <c r="A3" t="s">
        <v>10</v>
      </c>
      <c r="B3">
        <v>34</v>
      </c>
      <c r="D3" s="6" t="s">
        <v>14</v>
      </c>
      <c r="E3" s="6"/>
      <c r="F3" s="6"/>
      <c r="G3">
        <f>SUM(B:B)</f>
        <v>211</v>
      </c>
    </row>
    <row r="4" spans="1:7" x14ac:dyDescent="0.3">
      <c r="A4" t="s">
        <v>11</v>
      </c>
      <c r="B4">
        <v>2</v>
      </c>
      <c r="D4" s="7"/>
      <c r="E4" s="7"/>
      <c r="F4" s="7"/>
    </row>
    <row r="5" spans="1:7" x14ac:dyDescent="0.3">
      <c r="A5" t="s">
        <v>12</v>
      </c>
      <c r="B5">
        <v>100</v>
      </c>
      <c r="D5" s="6" t="s">
        <v>15</v>
      </c>
      <c r="E5" s="6"/>
      <c r="F5" s="6"/>
      <c r="G5">
        <f>COUNTA(A:A)</f>
        <v>8</v>
      </c>
    </row>
    <row r="6" spans="1:7" x14ac:dyDescent="0.3">
      <c r="A6" t="s">
        <v>13</v>
      </c>
      <c r="B6">
        <v>12</v>
      </c>
    </row>
    <row r="7" spans="1:7" x14ac:dyDescent="0.3">
      <c r="A7" t="s">
        <v>17</v>
      </c>
      <c r="B7">
        <v>35</v>
      </c>
      <c r="D7" s="6" t="s">
        <v>16</v>
      </c>
      <c r="E7" s="6"/>
      <c r="F7" s="6"/>
      <c r="G7">
        <f>G3/G5</f>
        <v>26.375</v>
      </c>
    </row>
    <row r="8" spans="1:7" x14ac:dyDescent="0.3">
      <c r="A8" t="s">
        <v>21</v>
      </c>
      <c r="B8">
        <v>13</v>
      </c>
    </row>
    <row r="9" spans="1:7" x14ac:dyDescent="0.3">
      <c r="D9" s="6" t="s">
        <v>18</v>
      </c>
      <c r="E9" s="6"/>
      <c r="F9" s="6"/>
      <c r="G9">
        <f>AVERAGE(B:B)</f>
        <v>26.375</v>
      </c>
    </row>
    <row r="10" spans="1:7" x14ac:dyDescent="0.3">
      <c r="D10" s="6" t="s">
        <v>19</v>
      </c>
      <c r="E10" s="6"/>
      <c r="F10" s="6"/>
      <c r="G10">
        <f>ROUNDUP(G9,0)</f>
        <v>27</v>
      </c>
    </row>
    <row r="11" spans="1:7" x14ac:dyDescent="0.3">
      <c r="D11" s="6" t="s">
        <v>20</v>
      </c>
      <c r="E11" s="6"/>
      <c r="F11" s="6"/>
      <c r="G11">
        <f>ROUNDDOWN(G9,0)</f>
        <v>26</v>
      </c>
    </row>
    <row r="12" spans="1:7" x14ac:dyDescent="0.3">
      <c r="D12" s="5"/>
      <c r="E12" s="5"/>
      <c r="F12" s="5"/>
    </row>
    <row r="13" spans="1:7" x14ac:dyDescent="0.3">
      <c r="D13" s="6" t="s">
        <v>22</v>
      </c>
      <c r="E13" s="6"/>
      <c r="F13" s="6"/>
      <c r="G13">
        <v>23.456</v>
      </c>
    </row>
    <row r="14" spans="1:7" x14ac:dyDescent="0.3">
      <c r="D14" s="6" t="s">
        <v>23</v>
      </c>
      <c r="E14" s="6"/>
      <c r="F14" s="6"/>
      <c r="G14">
        <f>ROUNDDOWN(G13,2)</f>
        <v>23.45</v>
      </c>
    </row>
    <row r="15" spans="1:7" x14ac:dyDescent="0.3">
      <c r="D15" s="6" t="s">
        <v>24</v>
      </c>
      <c r="E15" s="6"/>
      <c r="F15" s="6"/>
      <c r="G15">
        <f>ROUNDUP(G13,2)</f>
        <v>23.46</v>
      </c>
    </row>
    <row r="16" spans="1:7" x14ac:dyDescent="0.3">
      <c r="D16" s="6" t="s">
        <v>22</v>
      </c>
      <c r="E16" s="6"/>
      <c r="F16" s="6"/>
      <c r="G16">
        <f>ROUND(G13,2)</f>
        <v>23.46</v>
      </c>
    </row>
  </sheetData>
  <mergeCells count="10">
    <mergeCell ref="D11:F11"/>
    <mergeCell ref="D13:F13"/>
    <mergeCell ref="D14:F14"/>
    <mergeCell ref="D15:F15"/>
    <mergeCell ref="D16:F16"/>
    <mergeCell ref="D3:F3"/>
    <mergeCell ref="D5:F5"/>
    <mergeCell ref="D7:F7"/>
    <mergeCell ref="D9:F9"/>
    <mergeCell ref="D10:F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5178-1294-4711-849D-35319D00EB7E}">
  <dimension ref="A1:H12"/>
  <sheetViews>
    <sheetView workbookViewId="0">
      <selection activeCell="A5" sqref="A5"/>
    </sheetView>
  </sheetViews>
  <sheetFormatPr baseColWidth="10" defaultRowHeight="14.4" x14ac:dyDescent="0.3"/>
  <cols>
    <col min="1" max="1" width="24.6640625" customWidth="1"/>
  </cols>
  <sheetData>
    <row r="1" spans="1:8" x14ac:dyDescent="0.3">
      <c r="A1" t="s">
        <v>32</v>
      </c>
      <c r="B1">
        <v>4</v>
      </c>
    </row>
    <row r="2" spans="1:8" x14ac:dyDescent="0.3">
      <c r="A2" t="s">
        <v>11</v>
      </c>
      <c r="B2">
        <v>5</v>
      </c>
    </row>
    <row r="3" spans="1:8" x14ac:dyDescent="0.3">
      <c r="A3" t="s">
        <v>27</v>
      </c>
      <c r="B3">
        <v>10</v>
      </c>
    </row>
    <row r="4" spans="1:8" x14ac:dyDescent="0.3">
      <c r="A4" t="s">
        <v>26</v>
      </c>
      <c r="B4">
        <v>12</v>
      </c>
    </row>
    <row r="5" spans="1:8" x14ac:dyDescent="0.3">
      <c r="A5" t="s">
        <v>34</v>
      </c>
      <c r="B5">
        <v>14</v>
      </c>
    </row>
    <row r="6" spans="1:8" x14ac:dyDescent="0.3">
      <c r="A6" t="s">
        <v>28</v>
      </c>
      <c r="B6">
        <v>15</v>
      </c>
      <c r="E6" s="6" t="s">
        <v>29</v>
      </c>
      <c r="F6" s="6"/>
      <c r="G6" s="6"/>
      <c r="H6">
        <f>AVERAGE(B:B)</f>
        <v>31.111111111111111</v>
      </c>
    </row>
    <row r="7" spans="1:8" x14ac:dyDescent="0.3">
      <c r="A7" t="s">
        <v>10</v>
      </c>
      <c r="B7">
        <v>20</v>
      </c>
    </row>
    <row r="8" spans="1:8" x14ac:dyDescent="0.3">
      <c r="A8" t="s">
        <v>25</v>
      </c>
      <c r="B8">
        <v>80</v>
      </c>
      <c r="E8" s="6" t="s">
        <v>30</v>
      </c>
      <c r="F8" s="6"/>
      <c r="G8" s="6"/>
      <c r="H8">
        <f>MEDIAN(B:B)</f>
        <v>14</v>
      </c>
    </row>
    <row r="9" spans="1:8" x14ac:dyDescent="0.3">
      <c r="A9" t="s">
        <v>12</v>
      </c>
      <c r="B9">
        <v>120</v>
      </c>
    </row>
    <row r="11" spans="1:8" x14ac:dyDescent="0.3">
      <c r="D11" s="6" t="s">
        <v>31</v>
      </c>
      <c r="E11" s="6"/>
      <c r="F11" s="6"/>
      <c r="G11" s="6"/>
    </row>
    <row r="12" spans="1:8" x14ac:dyDescent="0.3">
      <c r="D12" s="6" t="s">
        <v>33</v>
      </c>
      <c r="E12" s="6"/>
      <c r="F12" s="6"/>
      <c r="G12" s="6"/>
    </row>
  </sheetData>
  <autoFilter ref="A1:B8" xr:uid="{0BF25178-1294-4711-849D-35319D00EB7E}">
    <sortState xmlns:xlrd2="http://schemas.microsoft.com/office/spreadsheetml/2017/richdata2" ref="A2:B8">
      <sortCondition ref="A9:A8"/>
    </sortState>
  </autoFilter>
  <sortState xmlns:xlrd2="http://schemas.microsoft.com/office/spreadsheetml/2017/richdata2" ref="A1:B9">
    <sortCondition ref="B10:B9"/>
  </sortState>
  <mergeCells count="4">
    <mergeCell ref="E6:G6"/>
    <mergeCell ref="E8:G8"/>
    <mergeCell ref="D11:G11"/>
    <mergeCell ref="D12:G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DAFE9-D08B-4BBD-A00D-786805D9F1F6}">
  <dimension ref="A1:G6"/>
  <sheetViews>
    <sheetView workbookViewId="0">
      <selection activeCell="F7" sqref="F7"/>
    </sheetView>
  </sheetViews>
  <sheetFormatPr baseColWidth="10" defaultRowHeight="14.4" x14ac:dyDescent="0.3"/>
  <sheetData>
    <row r="1" spans="1:7" x14ac:dyDescent="0.3">
      <c r="A1" t="s">
        <v>36</v>
      </c>
      <c r="B1">
        <v>3</v>
      </c>
    </row>
    <row r="2" spans="1:7" x14ac:dyDescent="0.3">
      <c r="A2" t="s">
        <v>39</v>
      </c>
      <c r="B2">
        <v>5</v>
      </c>
    </row>
    <row r="3" spans="1:7" x14ac:dyDescent="0.3">
      <c r="A3" t="s">
        <v>38</v>
      </c>
      <c r="B3">
        <v>8</v>
      </c>
    </row>
    <row r="4" spans="1:7" x14ac:dyDescent="0.3">
      <c r="A4" t="s">
        <v>35</v>
      </c>
      <c r="B4">
        <v>12</v>
      </c>
    </row>
    <row r="5" spans="1:7" x14ac:dyDescent="0.3">
      <c r="A5" t="s">
        <v>37</v>
      </c>
      <c r="B5">
        <v>100</v>
      </c>
    </row>
    <row r="6" spans="1:7" x14ac:dyDescent="0.3">
      <c r="D6" s="6" t="s">
        <v>30</v>
      </c>
      <c r="E6" s="6"/>
      <c r="F6" s="6"/>
      <c r="G6">
        <f>MEDIAN(B:B)</f>
        <v>8</v>
      </c>
    </row>
  </sheetData>
  <autoFilter ref="B1:B6" xr:uid="{C85DAFE9-D08B-4BBD-A00D-786805D9F1F6}"/>
  <sortState xmlns:xlrd2="http://schemas.microsoft.com/office/spreadsheetml/2017/richdata2" ref="A1:B6">
    <sortCondition ref="B1:B6"/>
  </sortState>
  <mergeCells count="1">
    <mergeCell ref="D6:F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105A3-0311-490E-A9E4-1EF0394880A4}">
  <dimension ref="A1:C12"/>
  <sheetViews>
    <sheetView tabSelected="1" workbookViewId="0">
      <selection activeCell="C13" sqref="C13"/>
    </sheetView>
  </sheetViews>
  <sheetFormatPr baseColWidth="10" defaultRowHeight="14.4" x14ac:dyDescent="0.3"/>
  <cols>
    <col min="1" max="1" width="25.5546875" style="2" customWidth="1"/>
    <col min="2" max="2" width="35.5546875" customWidth="1"/>
  </cols>
  <sheetData>
    <row r="1" spans="1:3" x14ac:dyDescent="0.3">
      <c r="A1" s="2">
        <v>18000</v>
      </c>
      <c r="B1" t="s">
        <v>40</v>
      </c>
    </row>
    <row r="2" spans="1:3" x14ac:dyDescent="0.3">
      <c r="A2" s="2">
        <v>20000</v>
      </c>
      <c r="B2" t="s">
        <v>42</v>
      </c>
    </row>
    <row r="3" spans="1:3" x14ac:dyDescent="0.3">
      <c r="A3" s="2">
        <v>21000</v>
      </c>
      <c r="B3" t="s">
        <v>41</v>
      </c>
    </row>
    <row r="4" spans="1:3" x14ac:dyDescent="0.3">
      <c r="A4" s="2">
        <v>28000</v>
      </c>
      <c r="B4" t="s">
        <v>43</v>
      </c>
    </row>
    <row r="5" spans="1:3" x14ac:dyDescent="0.3">
      <c r="A5" s="2">
        <v>35000</v>
      </c>
      <c r="B5" t="s">
        <v>44</v>
      </c>
    </row>
    <row r="6" spans="1:3" x14ac:dyDescent="0.3">
      <c r="A6" s="2">
        <v>60000</v>
      </c>
      <c r="B6" t="s">
        <v>45</v>
      </c>
    </row>
    <row r="7" spans="1:3" x14ac:dyDescent="0.3">
      <c r="A7" s="2">
        <v>89000</v>
      </c>
      <c r="B7" t="s">
        <v>46</v>
      </c>
    </row>
    <row r="8" spans="1:3" x14ac:dyDescent="0.3">
      <c r="A8" s="2">
        <v>300000</v>
      </c>
      <c r="B8" t="s">
        <v>47</v>
      </c>
    </row>
    <row r="10" spans="1:3" x14ac:dyDescent="0.3">
      <c r="B10" t="s">
        <v>30</v>
      </c>
      <c r="C10" s="2">
        <f>MEDIAN(A:A)</f>
        <v>31500</v>
      </c>
    </row>
    <row r="11" spans="1:3" x14ac:dyDescent="0.3">
      <c r="B11" t="s">
        <v>48</v>
      </c>
      <c r="C11" s="2">
        <f>AVERAGE(A:A)</f>
        <v>71375</v>
      </c>
    </row>
    <row r="12" spans="1:3" x14ac:dyDescent="0.3">
      <c r="B12" t="s">
        <v>49</v>
      </c>
      <c r="C12" s="1">
        <v>0.18</v>
      </c>
    </row>
  </sheetData>
  <autoFilter ref="A1:B8" xr:uid="{DA2105A3-0311-490E-A9E4-1EF0394880A4}">
    <sortState xmlns:xlrd2="http://schemas.microsoft.com/office/spreadsheetml/2017/richdata2" ref="A2:B8">
      <sortCondition ref="A1:A8"/>
    </sortState>
  </autoFilter>
  <sortState xmlns:xlrd2="http://schemas.microsoft.com/office/spreadsheetml/2017/richdata2" ref="A1:B10">
    <sortCondition ref="A1:A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Hoja2</vt:lpstr>
      <vt:lpstr>Hoja3</vt:lpstr>
      <vt:lpstr>MEDIANA</vt:lpstr>
      <vt:lpstr>Monstruo_Choco_Crunch</vt:lpstr>
      <vt:lpstr>Oferta_Trabajo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XTALENTO 109</dc:creator>
  <cp:lastModifiedBy>XTALENTO 109</cp:lastModifiedBy>
  <dcterms:created xsi:type="dcterms:W3CDTF">2026-03-03T10:39:15Z</dcterms:created>
  <dcterms:modified xsi:type="dcterms:W3CDTF">2026-03-03T12:54:53Z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2026-03-03T11:48:56Z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905c4f3a-e114-4642-ba2b-991b8103c5b4</vt:lpwstr>
  </property>
  <property fmtid="{D5CDD505-2E9C-101B-9397-08002B2CF9AE}" pid="7" name="MSIP_Label_defa4170-0d19-0005-0004-bc88714345d2_ActionId">
    <vt:lpwstr>8cdf770e-a067-4a55-8f82-a8b0aa0f6572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