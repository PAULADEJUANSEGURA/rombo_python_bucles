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8_{DA341317-FC97-4158-B2C7-FDC9C456B98A}" xr6:coauthVersionLast="47" xr6:coauthVersionMax="47" xr10:uidLastSave="{00000000-0000-0000-0000-000000000000}"/>
  <bookViews>
    <workbookView xWindow="-108" yWindow="-108" windowWidth="30936" windowHeight="16776" activeTab="1" xr2:uid="{AFF56343-2373-4017-90C5-1F0E83299E3B}"/>
  </bookViews>
  <sheets>
    <sheet name="Listado_de_productos" sheetId="1" r:id="rId1"/>
    <sheet name="Valores_tot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B2" i="2"/>
  <c r="H2" i="1"/>
  <c r="H3" i="1"/>
  <c r="H4" i="1"/>
  <c r="F3" i="1"/>
  <c r="G3" i="1" s="1"/>
  <c r="E3" i="1"/>
  <c r="E4" i="1"/>
  <c r="F4" i="1" s="1"/>
  <c r="G4" i="1" s="1"/>
  <c r="E2" i="1"/>
  <c r="F2" i="1" s="1"/>
  <c r="G2" i="1" s="1"/>
</calcChain>
</file>

<file path=xl/sharedStrings.xml><?xml version="1.0" encoding="utf-8"?>
<sst xmlns="http://schemas.openxmlformats.org/spreadsheetml/2006/main" count="15" uniqueCount="14">
  <si>
    <t>Producto</t>
  </si>
  <si>
    <t>Precio</t>
  </si>
  <si>
    <t>Unidades</t>
  </si>
  <si>
    <t>Pan</t>
  </si>
  <si>
    <t>Precio de Venta al Público (PVP)</t>
  </si>
  <si>
    <t>IVA</t>
  </si>
  <si>
    <t>IVA del precio</t>
  </si>
  <si>
    <t>Cereales</t>
  </si>
  <si>
    <t>Carne</t>
  </si>
  <si>
    <t>Total del producto</t>
  </si>
  <si>
    <t>Total v2</t>
  </si>
  <si>
    <t>Unidades totales</t>
  </si>
  <si>
    <t>Precio total bruto (sin iva)</t>
  </si>
  <si>
    <t>Precio total de Venta al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</si>
</sst>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98EC-D970-474A-A101-00C7EB47A310}">
  <dimension ref="A1:H4"/>
  <sheetViews>
    <sheetView zoomScale="215" zoomScaleNormal="215" workbookViewId="0">
      <selection activeCell="B2" sqref="B2"/>
    </sheetView>
  </sheetViews>
  <sheetFormatPr baseColWidth="10" defaultRowHeight="14.4" x14ac:dyDescent="0.3"/>
  <cols>
    <col min="5" max="5" width="13.6640625" customWidth="1"/>
    <col min="6" max="6" width="27.109375" customWidth="1"/>
    <col min="7" max="7" width="16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4</v>
      </c>
      <c r="G1" t="s">
        <v>9</v>
      </c>
      <c r="H1" t="s">
        <v>10</v>
      </c>
    </row>
    <row r="2" spans="1:8" x14ac:dyDescent="0.3">
      <c r="A2" t="s">
        <v>3</v>
      </c>
      <c r="B2" s="1">
        <v>0.35</v>
      </c>
      <c r="C2" s="2">
        <v>10</v>
      </c>
      <c r="D2" s="1">
        <v>0.21</v>
      </c>
      <c r="E2" s="1">
        <f>B2*D2</f>
        <v>7.3499999999999996E-2</v>
      </c>
      <c r="F2" s="1">
        <f>B2+E2</f>
        <v>0.42349999999999999</v>
      </c>
      <c r="G2">
        <f>F2*C2</f>
        <v>4.2349999999999994</v>
      </c>
      <c r="H2">
        <f>C2*(B2+(B2*D2))</f>
        <v>4.2349999999999994</v>
      </c>
    </row>
    <row r="3" spans="1:8" x14ac:dyDescent="0.3">
      <c r="A3" t="s">
        <v>7</v>
      </c>
      <c r="B3">
        <v>4.5</v>
      </c>
      <c r="C3" s="2">
        <v>100</v>
      </c>
      <c r="D3">
        <v>0.1</v>
      </c>
      <c r="E3" s="1">
        <f t="shared" ref="E3:E4" si="0">B3*D3</f>
        <v>0.45</v>
      </c>
      <c r="F3" s="1">
        <f t="shared" ref="F3:F4" si="1">B3+E3</f>
        <v>4.95</v>
      </c>
      <c r="G3">
        <f t="shared" ref="G3:G4" si="2">F3*C3</f>
        <v>495</v>
      </c>
      <c r="H3">
        <f t="shared" ref="H3:H4" si="3">C3*(B3+(B3*D3))</f>
        <v>495</v>
      </c>
    </row>
    <row r="4" spans="1:8" x14ac:dyDescent="0.3">
      <c r="A4" t="s">
        <v>8</v>
      </c>
      <c r="B4">
        <v>12</v>
      </c>
      <c r="C4" s="2">
        <v>10</v>
      </c>
      <c r="D4">
        <v>0.1</v>
      </c>
      <c r="E4" s="1">
        <f t="shared" si="0"/>
        <v>1.2000000000000002</v>
      </c>
      <c r="F4" s="1">
        <f t="shared" si="1"/>
        <v>13.2</v>
      </c>
      <c r="G4">
        <f t="shared" si="2"/>
        <v>132</v>
      </c>
      <c r="H4">
        <f t="shared" si="3"/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C506-D3E2-4554-85E8-78C1BD63CA99}">
  <dimension ref="A1:D2"/>
  <sheetViews>
    <sheetView tabSelected="1" topLeftCell="B1" workbookViewId="0">
      <selection activeCell="C2" sqref="C2"/>
    </sheetView>
  </sheetViews>
  <sheetFormatPr baseColWidth="10" defaultRowHeight="14.4" x14ac:dyDescent="0.3"/>
  <cols>
    <col min="1" max="1" width="18.88671875" customWidth="1"/>
    <col min="2" max="2" width="23.88671875" customWidth="1"/>
    <col min="3" max="3" width="27.88671875" customWidth="1"/>
    <col min="4" max="4" width="25.33203125" customWidth="1"/>
  </cols>
  <sheetData>
    <row r="1" spans="1:4" x14ac:dyDescent="0.3">
      <c r="A1" t="s">
        <v>11</v>
      </c>
      <c r="B1" t="s">
        <v>11</v>
      </c>
      <c r="C1" t="s">
        <v>13</v>
      </c>
      <c r="D1" t="s">
        <v>12</v>
      </c>
    </row>
    <row r="2" spans="1:4" x14ac:dyDescent="0.3">
      <c r="B2" s="2">
        <f>SUM(Listado_de_productos!C2:C16)</f>
        <v>120</v>
      </c>
      <c r="C2" s="1">
        <f>SUM(Listado_de_productos!G2:G16)</f>
        <v>631.23500000000001</v>
      </c>
      <c r="D2">
        <f>SUM(Listado_de_productos!B2:B16)*SUM(Listado_de_productos!C2:C16)</f>
        <v>2022.0000000000002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Listado_de_productos</vt:lpstr>
      <vt:lpstr>Valores_totales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dcterms:created xsi:type="dcterms:W3CDTF">2026-03-03T08:38:52Z</dcterms:created>
  <dcterms:modified xsi:type="dcterms:W3CDTF">2026-03-03T09:50:05Z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2026-03-03T09:49:39Z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7a140fc1-ed62-4738-b577-59bfbf13766c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