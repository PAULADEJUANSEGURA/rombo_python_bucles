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uarioM\Documents\curso_big_data_paula\ejercicio_rombo_y_estadistica_excel\estadistica-ejercicio-finde\"/>
    </mc:Choice>
  </mc:AlternateContent>
  <xr:revisionPtr revIDLastSave="0" documentId="13_ncr:1_{791E8858-392D-4E98-939D-BCFFE8ECBF94}" xr6:coauthVersionLast="47" xr6:coauthVersionMax="47" xr10:uidLastSave="{00000000-0000-0000-0000-000000000000}"/>
  <bookViews>
    <workbookView xWindow="768" yWindow="852" windowWidth="29952" windowHeight="15708" activeTab="1" xr2:uid="{9B0FA955-E75A-4405-9E77-5E7CDC022CAA}"/>
  </bookViews>
  <sheets>
    <sheet name="Hoja1" sheetId="1" r:id="rId1"/>
    <sheet name="Hoja2" sheetId="2" r:id="rId2"/>
  </sheets>
  <definedNames>
    <definedName name="_xlnm._FilterDatabase" localSheetId="0" hidden="1">Hoja1!$A$1:$A$10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7" i="2" l="1" a="1"/>
  <c r="E7" i="2" s="1"/>
  <c r="G7" i="2"/>
  <c r="E5" i="2" a="1"/>
  <c r="E5" i="2" s="1"/>
  <c r="G5" i="2"/>
  <c r="J25" i="1"/>
  <c r="J24" i="1"/>
  <c r="J23" i="1"/>
  <c r="J19" i="1"/>
  <c r="J18" i="1"/>
  <c r="J17" i="1"/>
  <c r="J15" i="1"/>
  <c r="J16" i="1"/>
  <c r="H10" i="1"/>
  <c r="H7" i="1"/>
  <c r="H8" i="1"/>
  <c r="H3" i="1"/>
  <c r="G11" i="2" l="1"/>
  <c r="D12" i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<sst xmlns="http://schemas.openxmlformats.org/spreadsheetml/2006/main" count="41" uniqueCount="36">
  <si>
    <t>percentil 5</t>
  </si>
  <si>
    <t>percentil 3</t>
  </si>
  <si>
    <t>percentil 7</t>
  </si>
  <si>
    <t>mediana</t>
  </si>
  <si>
    <t>Percentil en EXCEL</t>
  </si>
  <si>
    <t>Un Percentil es un porcentaje</t>
  </si>
  <si>
    <t>Porcentaje</t>
  </si>
  <si>
    <t>Percentil del 70%</t>
  </si>
  <si>
    <t>Percentil del 70% con otra fórmula</t>
  </si>
  <si>
    <t>Percentil del 50% que se corresponde con la MEDIANA</t>
  </si>
  <si>
    <t>1º Cuartil</t>
  </si>
  <si>
    <t>2º Cuartil</t>
  </si>
  <si>
    <t>3º Cuartil</t>
  </si>
  <si>
    <t>q0</t>
  </si>
  <si>
    <t>q1</t>
  </si>
  <si>
    <t>q2</t>
  </si>
  <si>
    <t>q3</t>
  </si>
  <si>
    <t>q4</t>
  </si>
  <si>
    <t>CUARTIL.INC (inclusivo)</t>
  </si>
  <si>
    <t>CUARTIL.EXC (exclusivo)</t>
  </si>
  <si>
    <t xml:space="preserve">Valor inicial </t>
  </si>
  <si>
    <t>4º Cuartil    (Valor final)</t>
  </si>
  <si>
    <t>pan</t>
  </si>
  <si>
    <t>leche</t>
  </si>
  <si>
    <t>huevos</t>
  </si>
  <si>
    <t>carne</t>
  </si>
  <si>
    <t>coliflor</t>
  </si>
  <si>
    <t>apio</t>
  </si>
  <si>
    <t>tomate</t>
  </si>
  <si>
    <t>cebolla</t>
  </si>
  <si>
    <t>pescado</t>
  </si>
  <si>
    <t>Máximo</t>
  </si>
  <si>
    <t>Mínimo</t>
  </si>
  <si>
    <t>Rango</t>
  </si>
  <si>
    <t>Restar MAXIMO - MINIMO</t>
  </si>
  <si>
    <t>Rango / Amplitud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</si>
</sst>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/>
    </xf>
    <xf numFmtId="9" fontId="0" fillId="0" borderId="0" xfId="0" applyNumberFormat="1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6FAF97-E82E-4099-9F98-449A71719B25}">
  <dimension ref="A1:J25"/>
  <sheetViews>
    <sheetView workbookViewId="0">
      <selection activeCell="G28" sqref="G28"/>
    </sheetView>
  </sheetViews>
  <sheetFormatPr baseColWidth="10" defaultRowHeight="14.4" x14ac:dyDescent="0.3"/>
  <cols>
    <col min="1" max="1" width="18.88671875" style="1" customWidth="1"/>
    <col min="7" max="7" width="46.6640625" customWidth="1"/>
  </cols>
  <sheetData>
    <row r="1" spans="1:10" x14ac:dyDescent="0.3">
      <c r="A1" s="1">
        <v>120</v>
      </c>
    </row>
    <row r="2" spans="1:10" x14ac:dyDescent="0.3">
      <c r="A2" s="1">
        <v>135</v>
      </c>
      <c r="I2" t="s">
        <v>6</v>
      </c>
    </row>
    <row r="3" spans="1:10" x14ac:dyDescent="0.3">
      <c r="A3" s="1">
        <v>145</v>
      </c>
      <c r="C3" t="s">
        <v>0</v>
      </c>
      <c r="D3">
        <v>155</v>
      </c>
      <c r="G3" t="s">
        <v>4</v>
      </c>
      <c r="H3">
        <f>_xlfn.PERCENTILE.INC(A:A,0.9)</f>
        <v>186</v>
      </c>
      <c r="I3" s="2">
        <v>0.9</v>
      </c>
      <c r="J3">
        <v>0.9</v>
      </c>
    </row>
    <row r="4" spans="1:10" x14ac:dyDescent="0.3">
      <c r="A4" s="1">
        <v>150</v>
      </c>
      <c r="C4" t="s">
        <v>1</v>
      </c>
      <c r="D4">
        <v>145</v>
      </c>
      <c r="G4" t="s">
        <v>5</v>
      </c>
    </row>
    <row r="5" spans="1:10" x14ac:dyDescent="0.3">
      <c r="A5" s="1">
        <v>155</v>
      </c>
      <c r="C5" t="s">
        <v>2</v>
      </c>
      <c r="D5">
        <v>180</v>
      </c>
    </row>
    <row r="6" spans="1:10" x14ac:dyDescent="0.3">
      <c r="A6" s="1">
        <v>175</v>
      </c>
    </row>
    <row r="7" spans="1:10" x14ac:dyDescent="0.3">
      <c r="A7" s="1">
        <v>180</v>
      </c>
      <c r="G7" t="s">
        <v>7</v>
      </c>
      <c r="H7">
        <f>_xlfn.PERCENTILE.INC(A:A,0.7)</f>
        <v>178</v>
      </c>
      <c r="I7" s="2">
        <v>0.7</v>
      </c>
      <c r="J7">
        <v>0.7</v>
      </c>
    </row>
    <row r="8" spans="1:10" x14ac:dyDescent="0.3">
      <c r="A8" s="1">
        <v>185</v>
      </c>
      <c r="G8" t="s">
        <v>8</v>
      </c>
      <c r="H8">
        <f>_xlfn.PERCENTILE.INC(A:A,70%)</f>
        <v>178</v>
      </c>
      <c r="I8" s="2">
        <v>0.7</v>
      </c>
    </row>
    <row r="9" spans="1:10" x14ac:dyDescent="0.3">
      <c r="A9" s="1">
        <v>190</v>
      </c>
    </row>
    <row r="10" spans="1:10" x14ac:dyDescent="0.3">
      <c r="G10" t="s">
        <v>9</v>
      </c>
      <c r="H10">
        <f>_xlfn.PERCENTILE.INC(A:A,50%)</f>
        <v>155</v>
      </c>
    </row>
    <row r="12" spans="1:10" x14ac:dyDescent="0.3">
      <c r="C12" t="s">
        <v>3</v>
      </c>
      <c r="D12">
        <f>MEDIAN(A:A)</f>
        <v>155</v>
      </c>
    </row>
    <row r="14" spans="1:10" x14ac:dyDescent="0.3">
      <c r="G14" t="s">
        <v>18</v>
      </c>
    </row>
    <row r="15" spans="1:10" x14ac:dyDescent="0.3">
      <c r="G15" t="s">
        <v>20</v>
      </c>
      <c r="H15" s="2">
        <v>0</v>
      </c>
      <c r="I15" t="s">
        <v>13</v>
      </c>
      <c r="J15">
        <f>_xlfn.QUARTILE.INC(A:A,0)</f>
        <v>120</v>
      </c>
    </row>
    <row r="16" spans="1:10" x14ac:dyDescent="0.3">
      <c r="G16" t="s">
        <v>10</v>
      </c>
      <c r="H16" s="2">
        <v>0.25</v>
      </c>
      <c r="I16" t="s">
        <v>14</v>
      </c>
      <c r="J16">
        <f>_xlfn.QUARTILE.INC(A:A,1)</f>
        <v>145</v>
      </c>
    </row>
    <row r="17" spans="7:10" x14ac:dyDescent="0.3">
      <c r="G17" t="s">
        <v>11</v>
      </c>
      <c r="H17" s="2">
        <v>0.5</v>
      </c>
      <c r="I17" t="s">
        <v>15</v>
      </c>
      <c r="J17">
        <f>_xlfn.QUARTILE.INC(A:A,2)</f>
        <v>155</v>
      </c>
    </row>
    <row r="18" spans="7:10" x14ac:dyDescent="0.3">
      <c r="G18" t="s">
        <v>12</v>
      </c>
      <c r="H18" s="2">
        <v>0.75</v>
      </c>
      <c r="I18" t="s">
        <v>16</v>
      </c>
      <c r="J18">
        <f>_xlfn.QUARTILE.INC(A:A,3)</f>
        <v>180</v>
      </c>
    </row>
    <row r="19" spans="7:10" x14ac:dyDescent="0.3">
      <c r="G19" t="s">
        <v>21</v>
      </c>
      <c r="H19" s="2">
        <v>1</v>
      </c>
      <c r="I19" t="s">
        <v>17</v>
      </c>
      <c r="J19">
        <f>_xlfn.QUARTILE.INC(A:A,4)</f>
        <v>190</v>
      </c>
    </row>
    <row r="23" spans="7:10" x14ac:dyDescent="0.3">
      <c r="G23" t="s">
        <v>19</v>
      </c>
      <c r="H23" s="2">
        <v>0.25</v>
      </c>
      <c r="I23" t="s">
        <v>14</v>
      </c>
      <c r="J23">
        <f>_xlfn.QUARTILE.EXC(A:A,1)</f>
        <v>140</v>
      </c>
    </row>
    <row r="24" spans="7:10" x14ac:dyDescent="0.3">
      <c r="G24" t="s">
        <v>19</v>
      </c>
      <c r="H24" s="2">
        <v>0.5</v>
      </c>
      <c r="I24" t="s">
        <v>15</v>
      </c>
      <c r="J24">
        <f>_xlfn.QUARTILE.EXC(A:A,2)</f>
        <v>155</v>
      </c>
    </row>
    <row r="25" spans="7:10" x14ac:dyDescent="0.3">
      <c r="G25" t="s">
        <v>19</v>
      </c>
      <c r="H25" s="2">
        <v>0.75</v>
      </c>
      <c r="I25" t="s">
        <v>16</v>
      </c>
      <c r="J25">
        <f>_xlfn.QUARTILE.EXC(A:A,3)</f>
        <v>182.5</v>
      </c>
    </row>
  </sheetData>
  <autoFilter ref="A1:A10" xr:uid="{916FAF97-E82E-4099-9F98-449A71719B25}"/>
  <sortState xmlns:xlrd2="http://schemas.microsoft.com/office/spreadsheetml/2017/richdata2" ref="A1:A10">
    <sortCondition ref="A1:A10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3CD314-97C3-4291-A690-998E56E46017}">
  <dimension ref="A1:G12"/>
  <sheetViews>
    <sheetView tabSelected="1" workbookViewId="0">
      <selection activeCell="B5" sqref="B5"/>
    </sheetView>
  </sheetViews>
  <sheetFormatPr baseColWidth="10" defaultRowHeight="14.4" x14ac:dyDescent="0.3"/>
  <cols>
    <col min="1" max="1" width="15.6640625" customWidth="1"/>
    <col min="6" max="6" width="16.6640625" customWidth="1"/>
  </cols>
  <sheetData>
    <row r="1" spans="1:7" x14ac:dyDescent="0.3">
      <c r="A1" t="s">
        <v>22</v>
      </c>
      <c r="B1">
        <v>0.9</v>
      </c>
    </row>
    <row r="2" spans="1:7" x14ac:dyDescent="0.3">
      <c r="A2" t="s">
        <v>23</v>
      </c>
      <c r="B2">
        <v>2.4</v>
      </c>
    </row>
    <row r="3" spans="1:7" x14ac:dyDescent="0.3">
      <c r="A3" t="s">
        <v>24</v>
      </c>
      <c r="B3">
        <v>3.5</v>
      </c>
    </row>
    <row r="4" spans="1:7" x14ac:dyDescent="0.3">
      <c r="A4" t="s">
        <v>25</v>
      </c>
      <c r="B4">
        <v>12.5</v>
      </c>
      <c r="E4" s="4" t="s">
        <v>31</v>
      </c>
      <c r="F4" s="3"/>
    </row>
    <row r="5" spans="1:7" x14ac:dyDescent="0.3">
      <c r="A5" t="s">
        <v>26</v>
      </c>
      <c r="B5">
        <v>1</v>
      </c>
      <c r="E5" s="3" t="str" cm="1">
        <f t="array" ref="E5">_xlfn._xlws.FILTER(A:A,B:B=G5)</f>
        <v>carne</v>
      </c>
      <c r="F5" s="3"/>
      <c r="G5">
        <f>MAX(B1:B9)</f>
        <v>12.5</v>
      </c>
    </row>
    <row r="6" spans="1:7" x14ac:dyDescent="0.3">
      <c r="A6" t="s">
        <v>27</v>
      </c>
      <c r="B6">
        <v>1</v>
      </c>
      <c r="E6" s="4" t="s">
        <v>32</v>
      </c>
      <c r="F6" s="3"/>
    </row>
    <row r="7" spans="1:7" x14ac:dyDescent="0.3">
      <c r="A7" t="s">
        <v>28</v>
      </c>
      <c r="B7">
        <v>5.3</v>
      </c>
      <c r="E7" s="3" t="str" cm="1">
        <f t="array" ref="E7">_xlfn._xlws.FILTER(A:A,B:B=G7)</f>
        <v>pan</v>
      </c>
      <c r="F7" s="3"/>
      <c r="G7">
        <f>MIN(B:B)</f>
        <v>0.9</v>
      </c>
    </row>
    <row r="8" spans="1:7" x14ac:dyDescent="0.3">
      <c r="A8" t="s">
        <v>29</v>
      </c>
      <c r="B8">
        <v>1.25</v>
      </c>
    </row>
    <row r="9" spans="1:7" x14ac:dyDescent="0.3">
      <c r="A9" t="s">
        <v>30</v>
      </c>
      <c r="B9">
        <v>12</v>
      </c>
    </row>
    <row r="10" spans="1:7" x14ac:dyDescent="0.3">
      <c r="E10" s="4" t="s">
        <v>33</v>
      </c>
      <c r="F10" s="3"/>
    </row>
    <row r="11" spans="1:7" x14ac:dyDescent="0.3">
      <c r="E11" s="3" t="s">
        <v>34</v>
      </c>
      <c r="F11" s="3"/>
      <c r="G11">
        <f>G5-G7</f>
        <v>11.6</v>
      </c>
    </row>
    <row r="12" spans="1:7" x14ac:dyDescent="0.3">
      <c r="E12" s="3" t="s">
        <v>35</v>
      </c>
      <c r="F12" s="3"/>
    </row>
  </sheetData>
  <mergeCells count="7">
    <mergeCell ref="E11:F11"/>
    <mergeCell ref="E12:F12"/>
    <mergeCell ref="E5:F5"/>
    <mergeCell ref="E7:F7"/>
    <mergeCell ref="E4:F4"/>
    <mergeCell ref="E6:F6"/>
    <mergeCell ref="E10:F1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Hoja2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XTALENTO 109</dc:creator>
  <cp:lastModifiedBy>XTALENTO 109</cp:lastModifiedBy>
  <dcterms:created xsi:type="dcterms:W3CDTF">2026-03-04T11:31:16Z</dcterms:created>
  <dcterms:modified xsi:type="dcterms:W3CDTF">2026-03-04T12:44:45Z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2026-03-04T12:15:32Z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905c4f3a-e114-4642-ba2b-991b8103c5b4</vt:lpwstr>
  </property>
  <property fmtid="{D5CDD505-2E9C-101B-9397-08002B2CF9AE}" pid="7" name="MSIP_Label_defa4170-0d19-0005-0004-bc88714345d2_ActionId">
    <vt:lpwstr>8351047d-6c11-4769-acf3-73e3d1e6c173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10, 3, 0, 1</vt:lpwstr>
  </property>
</Properties>
</file>