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urso_big_data_pauladejuan\nueva_carpeta_repositorio_local\rombo_python_bucles\estadistica-excel\"/>
    </mc:Choice>
  </mc:AlternateContent>
  <xr:revisionPtr revIDLastSave="0" documentId="13_ncr:1_{CDABDB4A-0FF0-4CA6-94BA-006D9BA6B973}" xr6:coauthVersionLast="47" xr6:coauthVersionMax="47" xr10:uidLastSave="{00000000-0000-0000-0000-000000000000}"/>
  <bookViews>
    <workbookView xWindow="-108" yWindow="-108" windowWidth="23256" windowHeight="12456" tabRatio="500" firstSheet="4" activeTab="6" xr2:uid="{00000000-000D-0000-FFFF-FFFF00000000}"/>
  </bookViews>
  <sheets>
    <sheet name="Datos" sheetId="1" r:id="rId1"/>
    <sheet name="Venta_por_categoria" sheetId="2" r:id="rId2"/>
    <sheet name="venta por_categoria2" sheetId="3" r:id="rId3"/>
    <sheet name="producto_estrella_ventas1" sheetId="6" r:id="rId4"/>
    <sheet name="producto_estrella2" sheetId="5" r:id="rId5"/>
    <sheet name="Datos1" sheetId="8" r:id="rId6"/>
    <sheet name="Hoja1" sheetId="7" r:id="rId7"/>
  </sheets>
  <definedNames>
    <definedName name="_xlnm._FilterDatabase" localSheetId="0" hidden="1">Datos!$A$1:$N$45</definedName>
    <definedName name="_xlnm._FilterDatabase" localSheetId="6" hidden="1">Hoja1!$A$2:$L$13</definedName>
    <definedName name="_xlnm._FilterDatabase" localSheetId="3" hidden="1">producto_estrella_ventas1!$P$1:$R$42</definedName>
    <definedName name="_xlnm._FilterDatabase" localSheetId="4" hidden="1">producto_estrella2!$B$1:$B$9</definedName>
    <definedName name="DatosExternos_1" localSheetId="5" hidden="1">Datos1!$A$1:$N$41</definedName>
    <definedName name="DatosExternos_1" localSheetId="3" hidden="1">producto_estrella_ventas1!$A$1:$N$41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7" l="1" a="1"/>
  <c r="K3" i="7" s="1"/>
  <c r="I3" i="7" a="1"/>
  <c r="I3" i="7" s="1"/>
  <c r="G3" i="7" a="1"/>
  <c r="G3" i="7" s="1"/>
  <c r="E3" i="7" a="1"/>
  <c r="E3" i="7" s="1"/>
  <c r="C3" i="7" a="1"/>
  <c r="C3" i="7" s="1"/>
  <c r="A3" i="7" a="1"/>
  <c r="A3" i="7" s="1"/>
  <c r="B2" i="5"/>
  <c r="A2" i="5" a="1"/>
  <c r="A2" i="5" s="1"/>
  <c r="P1" i="6" a="1"/>
  <c r="P1" i="6" s="1"/>
  <c r="R3" i="6"/>
  <c r="R4" i="6"/>
  <c r="R5" i="6"/>
  <c r="R6" i="6"/>
  <c r="R7" i="6"/>
  <c r="R2" i="6"/>
  <c r="Q3" i="6"/>
  <c r="Q4" i="6"/>
  <c r="Q5" i="6"/>
  <c r="Q6" i="6"/>
  <c r="Q7" i="6"/>
  <c r="Q2" i="6"/>
  <c r="B9" i="5" l="1"/>
  <c r="B6" i="5"/>
  <c r="B8" i="5"/>
  <c r="B4" i="5"/>
  <c r="B3" i="5"/>
  <c r="B7" i="5"/>
  <c r="B5" i="5"/>
  <c r="C4" i="3" a="1"/>
  <c r="A3" i="2" a="1"/>
  <c r="C4" i="3" l="1"/>
  <c r="A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CD8695-C3CA-4817-BDE2-226D1463B0E9}" keepAlive="1" name="Consulta - Datos" description="Conexión a la consulta 'Datos' en el libro." type="5" refreshedVersion="8" background="1" saveData="1">
    <dbPr connection="Provider=Microsoft.Mashup.OleDb.1;Data Source=$Workbook$;Location=Datos;Extended Properties=&quot;&quot;" command="SELECT * FROM [Datos]"/>
  </connection>
  <connection id="2" xr16:uid="{22F0F598-9B7E-433A-B03D-B91880FC5FCA}" keepAlive="1" name="Consulta - Datos1" description="Conexión a la consulta 'Datos1' en el libro." type="5" refreshedVersion="8" background="1" saveData="1">
    <dbPr connection="Provider=Microsoft.Mashup.OleDb.1;Data Source=$Workbook$;Location=Datos1;Extended Properties=&quot;&quot;" command="SELECT * FROM [Datos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<sst xmlns="http://schemas.openxmlformats.org/spreadsheetml/2006/main" count="812" uniqueCount="85">
  <si>
    <t>ID_Venta</t>
  </si>
  <si>
    <t>Fecha</t>
  </si>
  <si>
    <t>Producto</t>
  </si>
  <si>
    <t>Categoría</t>
  </si>
  <si>
    <t>Unidades</t>
  </si>
  <si>
    <t>Precio_Unitario</t>
  </si>
  <si>
    <t>Ciudad</t>
  </si>
  <si>
    <t>Canal</t>
  </si>
  <si>
    <t>Valoración</t>
  </si>
  <si>
    <t>Ingresos</t>
  </si>
  <si>
    <t>Coste</t>
  </si>
  <si>
    <t>Beneficio</t>
  </si>
  <si>
    <t>Vendedor</t>
  </si>
  <si>
    <t>Devolución</t>
  </si>
  <si>
    <t>Ropa</t>
  </si>
  <si>
    <t>Valencia</t>
  </si>
  <si>
    <t>Web</t>
  </si>
  <si>
    <t>Carlos López</t>
  </si>
  <si>
    <t>Sí</t>
  </si>
  <si>
    <t>Accesorios</t>
  </si>
  <si>
    <t>Sevilla</t>
  </si>
  <si>
    <t>Tienda</t>
  </si>
  <si>
    <t>Ana García</t>
  </si>
  <si>
    <t>No</t>
  </si>
  <si>
    <t>Calzado</t>
  </si>
  <si>
    <t>Laura Martínez</t>
  </si>
  <si>
    <t>Madrid</t>
  </si>
  <si>
    <t>Electrónica</t>
  </si>
  <si>
    <t>App</t>
  </si>
  <si>
    <t>Marta Fernández</t>
  </si>
  <si>
    <t>Gafas de sol sport</t>
  </si>
  <si>
    <t>Barcelona</t>
  </si>
  <si>
    <t>David Ruiz</t>
  </si>
  <si>
    <t>Bilbao</t>
  </si>
  <si>
    <t>Málaga</t>
  </si>
  <si>
    <t>FILTRO</t>
  </si>
  <si>
    <t>Esterilla de Yoga</t>
  </si>
  <si>
    <t>Fitness</t>
  </si>
  <si>
    <t>Raqueta de Pádel</t>
  </si>
  <si>
    <t>Deportes</t>
  </si>
  <si>
    <t>Zapatillas de Running</t>
  </si>
  <si>
    <t>Mancuernas 5kg (Par)</t>
  </si>
  <si>
    <t>Reloj GPS Garmin</t>
  </si>
  <si>
    <t>Casco de Ciclismo</t>
  </si>
  <si>
    <t>Botella Térmica 1L</t>
  </si>
  <si>
    <t>Saco de Boxeo</t>
  </si>
  <si>
    <t>Mochila de Senderismo</t>
  </si>
  <si>
    <t>Mallas Térmicas</t>
  </si>
  <si>
    <t>Auriculares Inalámbricos</t>
  </si>
  <si>
    <t>Balón de Fútbol</t>
  </si>
  <si>
    <t>Cortavientos Ligero</t>
  </si>
  <si>
    <t>Cuerda de Saltar</t>
  </si>
  <si>
    <t>Banda Elástica Resistencia</t>
  </si>
  <si>
    <t>Gafas de Natación</t>
  </si>
  <si>
    <t>Zapatillas de Trekking</t>
  </si>
  <si>
    <t>Maillot de Ciclismo</t>
  </si>
  <si>
    <t>Pulsómetro de Pecho</t>
  </si>
  <si>
    <t>Calcetines Running (Pack 3)</t>
  </si>
  <si>
    <t>Bolsa de Deporte</t>
  </si>
  <si>
    <t>Gorra Transpirable</t>
  </si>
  <si>
    <t>Guantes de Gimnasio</t>
  </si>
  <si>
    <t>Raqueta de Tenis</t>
  </si>
  <si>
    <t>Bote Pelotas Pádel (Pack 3)</t>
  </si>
  <si>
    <t>Toalla de Microfibra</t>
  </si>
  <si>
    <t>Pantalón de Chándal</t>
  </si>
  <si>
    <t>Sujetador Deportivo</t>
  </si>
  <si>
    <t>Cinturón de Hidratación</t>
  </si>
  <si>
    <t>Muñequeras de Pádel</t>
  </si>
  <si>
    <t>Pesa Rusa 8kg</t>
  </si>
  <si>
    <t>Rodillo de Masaje (Foam)</t>
  </si>
  <si>
    <t>Neopreno Surf</t>
  </si>
  <si>
    <t>Tabla de Paddle Surf</t>
  </si>
  <si>
    <t>Casco de Esquí</t>
  </si>
  <si>
    <t>Gafas de Ventisca</t>
  </si>
  <si>
    <t>Mallas de Compresión</t>
  </si>
  <si>
    <t>Camiseta Térmica</t>
  </si>
  <si>
    <t>Zapatillas Halterofilia</t>
  </si>
  <si>
    <t>Unidades vendidas sin devolucion</t>
  </si>
  <si>
    <t>Unidades totales incluida la devolucion</t>
  </si>
  <si>
    <t>Categoria</t>
  </si>
  <si>
    <t>Unidades Totales</t>
  </si>
  <si>
    <t>Material</t>
  </si>
  <si>
    <t>Cositas</t>
  </si>
  <si>
    <t>Columna1</t>
  </si>
  <si>
    <t>Ventas en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</si>
</sst>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_€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color theme="0"/>
      <name val="Calibri"/>
      <family val="2"/>
    </font>
    <font>
      <sz val="11"/>
      <color rgb="FF1F1F1F"/>
      <name val="Arial"/>
      <family val="2"/>
    </font>
    <font>
      <sz val="11"/>
      <color theme="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0F3460"/>
        <bgColor rgb="FF333333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2" fillId="3" borderId="0" xfId="0" applyFont="1" applyFill="1"/>
    <xf numFmtId="0" fontId="3" fillId="0" borderId="0" xfId="0" applyFont="1"/>
    <xf numFmtId="14" fontId="3" fillId="0" borderId="0" xfId="0" applyNumberFormat="1" applyFont="1"/>
    <xf numFmtId="8" fontId="3" fillId="0" borderId="0" xfId="0" applyNumberFormat="1" applyFont="1"/>
    <xf numFmtId="1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10" borderId="0" xfId="0" applyFill="1"/>
    <xf numFmtId="0" fontId="0" fillId="11" borderId="0" xfId="0" applyFill="1"/>
    <xf numFmtId="0" fontId="0" fillId="4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2" formatCode="#,##0.00\ &quot;€&quot;;[Red]\-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2" formatCode="#,##0.00\ &quot;€&quot;;[Red]\-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2" formatCode="#,##0.00\ &quot;€&quot;;[Red]\-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2" formatCode="#,##0.00\ &quot;€&quot;;[Red]\-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border outline="0">
        <top style="thin">
          <color rgb="FFCCCCCC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numFmt numFmtId="164" formatCode="#,##0.00\ _€"/>
      <fill>
        <patternFill patternType="solid">
          <fgColor rgb="FF333333"/>
          <bgColor rgb="FF0F34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F34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Calzado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Hoja1!$C$3:$C$5</c:f>
              <c:strCache>
                <c:ptCount val="3"/>
                <c:pt idx="0">
                  <c:v>Zapatillas de Trekking</c:v>
                </c:pt>
                <c:pt idx="1">
                  <c:v>Zapatillas Halterofilia</c:v>
                </c:pt>
                <c:pt idx="2">
                  <c:v>Zapatillas de Running</c:v>
                </c:pt>
              </c:strCache>
            </c:strRef>
          </c:cat>
          <c:val>
            <c:numRef>
              <c:f>Hoja1!$D$3:$D$5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0-4E20-A89D-4402E6AF4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256463"/>
        <c:axId val="102259823"/>
      </c:barChart>
      <c:catAx>
        <c:axId val="102256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259823"/>
        <c:crosses val="autoZero"/>
        <c:auto val="1"/>
        <c:lblAlgn val="ctr"/>
        <c:lblOffset val="100"/>
        <c:noMultiLvlLbl val="0"/>
      </c:catAx>
      <c:valAx>
        <c:axId val="10225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256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Electrónica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Hoja1!$G$3:$G$5</c:f>
              <c:strCache>
                <c:ptCount val="3"/>
                <c:pt idx="0">
                  <c:v>Reloj GPS Garmin</c:v>
                </c:pt>
                <c:pt idx="1">
                  <c:v>Auriculares Inalámbricos</c:v>
                </c:pt>
                <c:pt idx="2">
                  <c:v>Pulsómetro de Pecho</c:v>
                </c:pt>
              </c:strCache>
            </c:strRef>
          </c:cat>
          <c:val>
            <c:numRef>
              <c:f>Hoja1!$H$3:$H$5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2-4C1C-A984-B990F1C83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265583"/>
        <c:axId val="102258383"/>
      </c:barChart>
      <c:catAx>
        <c:axId val="102265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258383"/>
        <c:crosses val="autoZero"/>
        <c:auto val="1"/>
        <c:lblAlgn val="ctr"/>
        <c:lblOffset val="100"/>
        <c:noMultiLvlLbl val="0"/>
      </c:catAx>
      <c:valAx>
        <c:axId val="102258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26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Hoja1!$A$3:$A$13</c:f>
              <c:strCache>
                <c:ptCount val="11"/>
                <c:pt idx="0">
                  <c:v>Bolsa de Deporte</c:v>
                </c:pt>
                <c:pt idx="1">
                  <c:v>Botella Térmica 1L</c:v>
                </c:pt>
                <c:pt idx="2">
                  <c:v>Casco de Ciclismo</c:v>
                </c:pt>
                <c:pt idx="3">
                  <c:v>Casco de Esquí</c:v>
                </c:pt>
                <c:pt idx="4">
                  <c:v>Cinturón de Hidratación</c:v>
                </c:pt>
                <c:pt idx="5">
                  <c:v>Gafas de Natación</c:v>
                </c:pt>
                <c:pt idx="6">
                  <c:v>Gafas de sol sport</c:v>
                </c:pt>
                <c:pt idx="7">
                  <c:v>Gorra Transpirable</c:v>
                </c:pt>
                <c:pt idx="8">
                  <c:v>Mochila de Senderismo</c:v>
                </c:pt>
                <c:pt idx="9">
                  <c:v>Toalla de Microfibra</c:v>
                </c:pt>
                <c:pt idx="10">
                  <c:v>Gafas de Ventisca</c:v>
                </c:pt>
              </c:strCache>
            </c:strRef>
          </c:cat>
          <c:val>
            <c:numRef>
              <c:f>Hoja1!$B$3:$B$13</c:f>
              <c:numCache>
                <c:formatCode>General</c:formatCode>
                <c:ptCount val="11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6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9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0-44DD-AC5C-849A2C122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2086607"/>
        <c:axId val="332087087"/>
      </c:barChart>
      <c:catAx>
        <c:axId val="332086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2087087"/>
        <c:crosses val="autoZero"/>
        <c:auto val="1"/>
        <c:lblAlgn val="ctr"/>
        <c:lblOffset val="100"/>
        <c:noMultiLvlLbl val="0"/>
      </c:catAx>
      <c:valAx>
        <c:axId val="33208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208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Deportes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Hoja1!$E$3:$E$9</c:f>
              <c:strCache>
                <c:ptCount val="7"/>
                <c:pt idx="0">
                  <c:v>Balón de Fútbol</c:v>
                </c:pt>
                <c:pt idx="1">
                  <c:v>Bote Pelotas Pádel (Pack 3)</c:v>
                </c:pt>
                <c:pt idx="2">
                  <c:v>Muñequeras de Pádel</c:v>
                </c:pt>
                <c:pt idx="3">
                  <c:v>Neopreno Surf</c:v>
                </c:pt>
                <c:pt idx="4">
                  <c:v>Raqueta de Pádel</c:v>
                </c:pt>
                <c:pt idx="5">
                  <c:v>Raqueta de Tenis</c:v>
                </c:pt>
                <c:pt idx="6">
                  <c:v>Tabla de Paddle Surf</c:v>
                </c:pt>
              </c:strCache>
            </c:strRef>
          </c:cat>
          <c:val>
            <c:numRef>
              <c:f>Hoja1!$F$3:$F$9</c:f>
              <c:numCache>
                <c:formatCode>General</c:formatCode>
                <c:ptCount val="7"/>
                <c:pt idx="0">
                  <c:v>11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7</c:v>
                </c:pt>
                <c:pt idx="5">
                  <c:v>8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4-44E3-BF09-D0C1B3255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0638752"/>
        <c:axId val="1220639232"/>
      </c:barChart>
      <c:catAx>
        <c:axId val="1220638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0639232"/>
        <c:crosses val="autoZero"/>
        <c:auto val="1"/>
        <c:lblAlgn val="ctr"/>
        <c:lblOffset val="100"/>
        <c:noMultiLvlLbl val="0"/>
      </c:catAx>
      <c:valAx>
        <c:axId val="122063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2063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Fitness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Hoja1!$I$3:$I$10</c:f>
              <c:strCache>
                <c:ptCount val="8"/>
                <c:pt idx="0">
                  <c:v>Banda Elástica Resistencia</c:v>
                </c:pt>
                <c:pt idx="1">
                  <c:v>Cuerda de Saltar</c:v>
                </c:pt>
                <c:pt idx="2">
                  <c:v>Esterilla de Yoga</c:v>
                </c:pt>
                <c:pt idx="3">
                  <c:v>Guantes de Gimnasio</c:v>
                </c:pt>
                <c:pt idx="4">
                  <c:v>Mancuernas 5kg (Par)</c:v>
                </c:pt>
                <c:pt idx="5">
                  <c:v>Pesa Rusa 8kg</c:v>
                </c:pt>
                <c:pt idx="6">
                  <c:v>Rodillo de Masaje (Foam)</c:v>
                </c:pt>
                <c:pt idx="7">
                  <c:v>Saco de Boxeo</c:v>
                </c:pt>
              </c:strCache>
            </c:strRef>
          </c:cat>
          <c:val>
            <c:numRef>
              <c:f>Hoja1!$J$3:$J$10</c:f>
              <c:numCache>
                <c:formatCode>General</c:formatCode>
                <c:ptCount val="8"/>
                <c:pt idx="0">
                  <c:v>3</c:v>
                </c:pt>
                <c:pt idx="1">
                  <c:v>5</c:v>
                </c:pt>
                <c:pt idx="2">
                  <c:v>20</c:v>
                </c:pt>
                <c:pt idx="3">
                  <c:v>1</c:v>
                </c:pt>
                <c:pt idx="4">
                  <c:v>5</c:v>
                </c:pt>
                <c:pt idx="5">
                  <c:v>2</c:v>
                </c:pt>
                <c:pt idx="6">
                  <c:v>20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2-4195-9B6C-212BE7635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6709743"/>
        <c:axId val="406710223"/>
      </c:barChart>
      <c:catAx>
        <c:axId val="406709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6710223"/>
        <c:crosses val="autoZero"/>
        <c:auto val="1"/>
        <c:lblAlgn val="ctr"/>
        <c:lblOffset val="100"/>
        <c:noMultiLvlLbl val="0"/>
      </c:catAx>
      <c:valAx>
        <c:axId val="40671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670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Ropa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Hoja1!$K$3:$K$10</c:f>
              <c:strCache>
                <c:ptCount val="8"/>
                <c:pt idx="0">
                  <c:v>Calcetines Running (Pack 3)</c:v>
                </c:pt>
                <c:pt idx="1">
                  <c:v>Camiseta Térmica</c:v>
                </c:pt>
                <c:pt idx="2">
                  <c:v>Cortavientos Ligero</c:v>
                </c:pt>
                <c:pt idx="3">
                  <c:v>Maillot de Ciclismo</c:v>
                </c:pt>
                <c:pt idx="4">
                  <c:v>Mallas de Compresión</c:v>
                </c:pt>
                <c:pt idx="5">
                  <c:v>Mallas Térmicas</c:v>
                </c:pt>
                <c:pt idx="6">
                  <c:v>Sujetador Deportivo</c:v>
                </c:pt>
                <c:pt idx="7">
                  <c:v>Pantalón de Chándal</c:v>
                </c:pt>
              </c:strCache>
            </c:strRef>
          </c:cat>
          <c:val>
            <c:numRef>
              <c:f>Hoja1!$L$3:$L$10</c:f>
              <c:numCache>
                <c:formatCode>General</c:formatCode>
                <c:ptCount val="8"/>
                <c:pt idx="0">
                  <c:v>30</c:v>
                </c:pt>
                <c:pt idx="1">
                  <c:v>25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10</c:v>
                </c:pt>
                <c:pt idx="7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1-40EA-ABF0-63909FD6C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0972383"/>
        <c:axId val="400971903"/>
      </c:barChart>
      <c:catAx>
        <c:axId val="400972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0971903"/>
        <c:crosses val="autoZero"/>
        <c:auto val="1"/>
        <c:lblAlgn val="ctr"/>
        <c:lblOffset val="100"/>
        <c:noMultiLvlLbl val="0"/>
      </c:catAx>
      <c:valAx>
        <c:axId val="400971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097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2148840</xdr:colOff>
      <xdr:row>13</xdr:row>
      <xdr:rowOff>45720</xdr:rowOff>
    </xdr:from>
    <xdr:to>
      <xdr:col>3</xdr:col>
      <xdr:colOff>2087880</xdr:colOff>
      <xdr:row>27</xdr:row>
      <xdr:rowOff>175260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104749B-5CD1-F752-34F9-F7475F1CE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</xdr:colOff>
      <xdr:row>13</xdr:row>
      <xdr:rowOff>45720</xdr:rowOff>
    </xdr:from>
    <xdr:to>
      <xdr:col>8</xdr:col>
      <xdr:colOff>15240</xdr:colOff>
      <xdr:row>26</xdr:row>
      <xdr:rowOff>53340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46623D78-1F26-BD1E-6D7E-FA4E4BB87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172916</xdr:colOff>
      <xdr:row>13</xdr:row>
      <xdr:rowOff>76200</xdr:rowOff>
    </xdr:from>
    <xdr:to>
      <xdr:col>1</xdr:col>
      <xdr:colOff>2001716</xdr:colOff>
      <xdr:row>28</xdr:row>
      <xdr:rowOff>93785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433B897-1E0A-4821-7EA7-F36162649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55683</xdr:colOff>
      <xdr:row>13</xdr:row>
      <xdr:rowOff>17585</xdr:rowOff>
    </xdr:from>
    <xdr:to>
      <xdr:col>6</xdr:col>
      <xdr:colOff>93784</xdr:colOff>
      <xdr:row>27</xdr:row>
      <xdr:rowOff>76201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019D57F-F327-FBCE-54E6-E3638349D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290146</xdr:colOff>
      <xdr:row>13</xdr:row>
      <xdr:rowOff>64477</xdr:rowOff>
    </xdr:from>
    <xdr:to>
      <xdr:col>9</xdr:col>
      <xdr:colOff>2060330</xdr:colOff>
      <xdr:row>28</xdr:row>
      <xdr:rowOff>82062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6DD4568-002C-799E-54A6-5C76D9BBA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76200</xdr:colOff>
      <xdr:row>13</xdr:row>
      <xdr:rowOff>42333</xdr:rowOff>
    </xdr:from>
    <xdr:to>
      <xdr:col>12</xdr:col>
      <xdr:colOff>211667</xdr:colOff>
      <xdr:row>27</xdr:row>
      <xdr:rowOff>177800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C6DFABE-4F06-7CAC-DF3D-54EC1D898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7967813-922B-4AA5-8D25-19D871723025}" autoFormatId="16" applyNumberFormats="0" applyBorderFormats="0" applyFontFormats="0" applyPatternFormats="0" applyAlignmentFormats="0" applyWidthHeightFormats="0">
  <queryTableRefresh nextId="15">
    <queryTableFields count="14">
      <queryTableField id="1" name="ID_Venta" tableColumnId="1"/>
      <queryTableField id="2" name="Fecha" tableColumnId="2"/>
      <queryTableField id="3" name="Producto" tableColumnId="3"/>
      <queryTableField id="4" name="Categoría" tableColumnId="4"/>
      <queryTableField id="5" name="Unidades" tableColumnId="5"/>
      <queryTableField id="6" name="Precio_Unitario" tableColumnId="6"/>
      <queryTableField id="7" name="Ciudad" tableColumnId="7"/>
      <queryTableField id="8" name="Canal" tableColumnId="8"/>
      <queryTableField id="9" name="Valoración" tableColumnId="9"/>
      <queryTableField id="10" name="Ingresos" tableColumnId="10"/>
      <queryTableField id="11" name="Coste" tableColumnId="11"/>
      <queryTableField id="12" name="Beneficio" tableColumnId="12"/>
      <queryTableField id="13" name="Vendedor" tableColumnId="13"/>
      <queryTableField id="14" name="Devolución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81F329E8-5922-4F3A-8065-D1540204A2C7}" autoFormatId="16" applyNumberFormats="0" applyBorderFormats="0" applyFontFormats="0" applyPatternFormats="0" applyAlignmentFormats="0" applyWidthHeightFormats="0">
  <queryTableRefresh nextId="15">
    <queryTableFields count="14">
      <queryTableField id="1" name="ID_Venta" tableColumnId="1"/>
      <queryTableField id="2" name="Fecha" tableColumnId="2"/>
      <queryTableField id="3" name="Producto" tableColumnId="3"/>
      <queryTableField id="4" name="Categoría" tableColumnId="4"/>
      <queryTableField id="5" name="Unidades" tableColumnId="5"/>
      <queryTableField id="6" name="Precio_Unitario" tableColumnId="6"/>
      <queryTableField id="7" name="Ciudad" tableColumnId="7"/>
      <queryTableField id="8" name="Canal" tableColumnId="8"/>
      <queryTableField id="9" name="Valoración" tableColumnId="9"/>
      <queryTableField id="10" name="Ingresos" tableColumnId="10"/>
      <queryTableField id="11" name="Coste" tableColumnId="11"/>
      <queryTableField id="12" name="Beneficio" tableColumnId="12"/>
      <queryTableField id="13" name="Vendedor" tableColumnId="13"/>
      <queryTableField id="14" name="Devolución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F9CD06-413C-460D-92B0-7210716C06ED}" name="Tabla2" displayName="Tabla2" ref="A1:N45" totalsRowShown="0" headerRowDxfId="31" dataDxfId="29" headerRowBorderDxfId="30" tableBorderDxfId="28">
  <autoFilter ref="A1:N45" xr:uid="{00000000-0009-0000-0000-000000000000}"/>
  <sortState xmlns:xlrd2="http://schemas.microsoft.com/office/spreadsheetml/2017/richdata2" ref="A2:N41">
    <sortCondition ref="A1:A41"/>
  </sortState>
  <tableColumns count="14">
    <tableColumn id="1" xr3:uid="{BDB90965-C390-4E5C-B0B2-1C3C89660C15}" name="ID_Venta" dataDxfId="27"/>
    <tableColumn id="2" xr3:uid="{A46422BA-2CF4-4ACC-B005-9A4589CE6A73}" name="Fecha" dataDxfId="26"/>
    <tableColumn id="3" xr3:uid="{E25DCDC7-FA1F-40EB-BA54-9F6DDA2FF484}" name="Producto" dataDxfId="25"/>
    <tableColumn id="4" xr3:uid="{3359C679-3B82-4CA1-ADD5-D2EC18BB2DD7}" name="Categoría" dataDxfId="24"/>
    <tableColumn id="5" xr3:uid="{14A2F717-E2E2-47FD-A7D7-EA6EDA352861}" name="Unidades" dataDxfId="23"/>
    <tableColumn id="6" xr3:uid="{F4EB609F-EC1F-4BCE-99A3-C501EAFF568D}" name="Precio_Unitario" dataDxfId="22"/>
    <tableColumn id="7" xr3:uid="{4306E038-07A5-4BCF-B625-531A93A5EDA2}" name="Ciudad" dataDxfId="21"/>
    <tableColumn id="8" xr3:uid="{83FF4A28-3FD0-43F4-AFB2-88D966BF9F56}" name="Canal" dataDxfId="20"/>
    <tableColumn id="9" xr3:uid="{B0348614-76B9-4AC4-B527-9878B3972AF1}" name="Valoración" dataDxfId="19"/>
    <tableColumn id="10" xr3:uid="{EE83039C-B130-4F94-8887-B43111559B8D}" name="Ingresos" dataDxfId="18"/>
    <tableColumn id="11" xr3:uid="{6657E328-97AE-4B47-A327-032A711335DC}" name="Coste" dataDxfId="17"/>
    <tableColumn id="12" xr3:uid="{934798ED-ECEE-41BE-90E7-F198AEE57630}" name="Beneficio" dataDxfId="16"/>
    <tableColumn id="13" xr3:uid="{A759DE9A-223C-4093-B0F0-4FB3469EEC86}" name="Vendedor" dataDxfId="15"/>
    <tableColumn id="14" xr3:uid="{4B6F10D4-0391-4871-A977-2488F8B06B96}" name="Devolución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194DF1-1FA1-4220-AB35-E0BC9A6966B5}" name="Datos" displayName="Datos" ref="A1:N41" tableType="queryTable" totalsRowShown="0">
  <autoFilter ref="A1:N41" xr:uid="{6E194DF1-1FA1-4220-AB35-E0BC9A6966B5}"/>
  <sortState xmlns:xlrd2="http://schemas.microsoft.com/office/spreadsheetml/2017/richdata2" ref="A2:N41">
    <sortCondition ref="N1:N41"/>
  </sortState>
  <tableColumns count="14">
    <tableColumn id="1" xr3:uid="{0C8E1350-9EDD-433B-BC32-081450614DB1}" uniqueName="1" name="ID_Venta" queryTableFieldId="1"/>
    <tableColumn id="2" xr3:uid="{800C9E7E-F61F-4AEE-A9DA-C3E26B1CC568}" uniqueName="2" name="Fecha" queryTableFieldId="2" dataDxfId="13"/>
    <tableColumn id="3" xr3:uid="{2387EF18-3892-489E-9C4F-51DA598E1220}" uniqueName="3" name="Producto" queryTableFieldId="3" dataDxfId="12"/>
    <tableColumn id="4" xr3:uid="{BE04C6A0-13BF-43C2-93E4-14CAA3A4CDCC}" uniqueName="4" name="Categoría" queryTableFieldId="4" dataDxfId="11"/>
    <tableColumn id="5" xr3:uid="{FC4B0C23-B13F-43B1-9786-4D5A08D6AAA7}" uniqueName="5" name="Unidades" queryTableFieldId="5"/>
    <tableColumn id="6" xr3:uid="{525128FF-EFF8-49AC-9274-DD77BBD09B0C}" uniqueName="6" name="Precio_Unitario" queryTableFieldId="6"/>
    <tableColumn id="7" xr3:uid="{5731E818-47ED-49BD-BFAA-FC87094FC9C4}" uniqueName="7" name="Ciudad" queryTableFieldId="7" dataDxfId="10"/>
    <tableColumn id="8" xr3:uid="{28B8041E-7C39-4E3D-B5B4-F6F957735AE2}" uniqueName="8" name="Canal" queryTableFieldId="8" dataDxfId="9"/>
    <tableColumn id="9" xr3:uid="{9049C531-8918-4F89-93AA-4B045B4BA3A2}" uniqueName="9" name="Valoración" queryTableFieldId="9"/>
    <tableColumn id="10" xr3:uid="{FE022998-D5A6-49A5-8AB1-8092BBE46DCE}" uniqueName="10" name="Ingresos" queryTableFieldId="10"/>
    <tableColumn id="11" xr3:uid="{B2C0E25E-A725-4C59-B10B-9A1077CF25F4}" uniqueName="11" name="Coste" queryTableFieldId="11"/>
    <tableColumn id="12" xr3:uid="{EAAE85B1-4073-444C-B2B6-93CF1CC6C9A8}" uniqueName="12" name="Beneficio" queryTableFieldId="12"/>
    <tableColumn id="13" xr3:uid="{ED523922-4CA4-4F8D-9CE2-0E35430D23C2}" uniqueName="13" name="Vendedor" queryTableFieldId="13" dataDxfId="8"/>
    <tableColumn id="14" xr3:uid="{947539FF-D3CF-40C4-8BD5-D1E1C275667D}" uniqueName="14" name="Devolución" queryTableFieldId="14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E711BF-B4F0-4740-BB6A-B142911F50DA}" name="Datos1" displayName="Datos1" ref="A1:N41" tableType="queryTable" totalsRowShown="0">
  <autoFilter ref="A1:N41" xr:uid="{05E711BF-B4F0-4740-BB6A-B142911F50DA}"/>
  <sortState xmlns:xlrd2="http://schemas.microsoft.com/office/spreadsheetml/2017/richdata2" ref="A2:N41">
    <sortCondition ref="D1:D41"/>
  </sortState>
  <tableColumns count="14">
    <tableColumn id="1" xr3:uid="{3AEABC2D-2FFD-49E8-8B8C-4ED98A5FCA19}" uniqueName="1" name="ID_Venta" queryTableFieldId="1"/>
    <tableColumn id="2" xr3:uid="{A621A459-44CB-4DF2-9E36-F3B574243B1E}" uniqueName="2" name="Columna1" queryTableFieldId="2" dataDxfId="6"/>
    <tableColumn id="3" xr3:uid="{0566E96C-20F8-428D-8F11-791DD003FEE0}" uniqueName="3" name="Producto" queryTableFieldId="3" dataDxfId="5"/>
    <tableColumn id="4" xr3:uid="{6A82CE81-8240-4A45-AE37-4F6A43969DB4}" uniqueName="4" name="Categoría" queryTableFieldId="4" dataDxfId="4"/>
    <tableColumn id="5" xr3:uid="{A01786FD-DBB8-4CDC-BF25-3FD7AED3857C}" uniqueName="5" name="Unidades" queryTableFieldId="5"/>
    <tableColumn id="6" xr3:uid="{AFF7DF26-274E-4C43-970E-CBCF441B9BC6}" uniqueName="6" name="Precio_Unitario" queryTableFieldId="6"/>
    <tableColumn id="7" xr3:uid="{5291E896-6C7F-4BFF-AAFD-BC207877C6A5}" uniqueName="7" name="Ciudad" queryTableFieldId="7" dataDxfId="3"/>
    <tableColumn id="8" xr3:uid="{9BD56D98-605D-4FA1-AC0F-457BFCB562D8}" uniqueName="8" name="Canal" queryTableFieldId="8" dataDxfId="2"/>
    <tableColumn id="9" xr3:uid="{7D1A1E96-ECF9-4BD5-BCA3-A7B52C65B4AD}" uniqueName="9" name="Valoración" queryTableFieldId="9"/>
    <tableColumn id="10" xr3:uid="{E989A9A4-3109-454D-8474-E040FADD23CF}" uniqueName="10" name="Ingresos" queryTableFieldId="10"/>
    <tableColumn id="11" xr3:uid="{E69D89EB-04C2-4162-8243-2CAA8B2E5EE2}" uniqueName="11" name="Coste" queryTableFieldId="11"/>
    <tableColumn id="12" xr3:uid="{894199C1-2A6E-484E-8F8F-EDA37001A13B}" uniqueName="12" name="Beneficio" queryTableFieldId="12"/>
    <tableColumn id="13" xr3:uid="{EDE1009D-AFCB-4B26-A234-0388A303E1E6}" uniqueName="13" name="Vendedor" queryTableFieldId="13" dataDxfId="1"/>
    <tableColumn id="14" xr3:uid="{9335882A-7A9D-46A5-BD27-DFB01CD1C7D4}" uniqueName="14" name="Devolución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zoomScaleNormal="100" workbookViewId="0">
      <pane ySplit="1" topLeftCell="A13" activePane="bottomLeft" state="frozen"/>
      <selection pane="bottomLeft" activeCell="E42" sqref="E42"/>
    </sheetView>
  </sheetViews>
  <sheetFormatPr baseColWidth="10" defaultColWidth="8.6640625" defaultRowHeight="14.4" x14ac:dyDescent="0.3"/>
  <cols>
    <col min="1" max="1" width="11.6640625" customWidth="1"/>
    <col min="2" max="2" width="12" customWidth="1"/>
    <col min="3" max="3" width="22" customWidth="1"/>
    <col min="4" max="4" width="14" customWidth="1"/>
    <col min="5" max="5" width="12" customWidth="1"/>
    <col min="6" max="6" width="17.77734375" style="1" customWidth="1"/>
    <col min="7" max="7" width="14" customWidth="1"/>
    <col min="8" max="8" width="10" customWidth="1"/>
    <col min="9" max="9" width="13.21875" customWidth="1"/>
    <col min="10" max="10" width="16" style="1" customWidth="1"/>
    <col min="11" max="12" width="14" style="1" customWidth="1"/>
    <col min="13" max="13" width="18" customWidth="1"/>
    <col min="14" max="14" width="13.88671875" customWidth="1"/>
  </cols>
  <sheetData>
    <row r="1" spans="1:14" ht="26.7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8" t="s">
        <v>9</v>
      </c>
      <c r="K1" s="8" t="s">
        <v>10</v>
      </c>
      <c r="L1" s="8" t="s">
        <v>11</v>
      </c>
      <c r="M1" s="7" t="s">
        <v>12</v>
      </c>
      <c r="N1" s="7" t="s">
        <v>13</v>
      </c>
    </row>
    <row r="2" spans="1:14" ht="15" customHeight="1" x14ac:dyDescent="0.3">
      <c r="A2" s="3">
        <v>1001</v>
      </c>
      <c r="B2" s="4">
        <v>45352</v>
      </c>
      <c r="C2" s="3" t="s">
        <v>30</v>
      </c>
      <c r="D2" s="3" t="s">
        <v>19</v>
      </c>
      <c r="E2" s="3">
        <v>1</v>
      </c>
      <c r="F2" s="5">
        <v>25.5</v>
      </c>
      <c r="G2" s="3" t="s">
        <v>26</v>
      </c>
      <c r="H2" s="3" t="s">
        <v>28</v>
      </c>
      <c r="I2" s="3">
        <v>4</v>
      </c>
      <c r="J2" s="5">
        <v>25.5</v>
      </c>
      <c r="K2" s="5">
        <v>10</v>
      </c>
      <c r="L2" s="5">
        <v>15.5</v>
      </c>
      <c r="M2" s="3" t="s">
        <v>22</v>
      </c>
      <c r="N2" s="3" t="s">
        <v>23</v>
      </c>
    </row>
    <row r="3" spans="1:14" ht="15" customHeight="1" x14ac:dyDescent="0.3">
      <c r="A3" s="3">
        <v>1002</v>
      </c>
      <c r="B3" s="4">
        <v>45353</v>
      </c>
      <c r="C3" s="3" t="s">
        <v>36</v>
      </c>
      <c r="D3" s="3" t="s">
        <v>37</v>
      </c>
      <c r="E3" s="3">
        <v>2</v>
      </c>
      <c r="F3" s="5">
        <v>18</v>
      </c>
      <c r="G3" s="3" t="s">
        <v>31</v>
      </c>
      <c r="H3" s="3" t="s">
        <v>16</v>
      </c>
      <c r="I3" s="3">
        <v>5</v>
      </c>
      <c r="J3" s="5">
        <v>36</v>
      </c>
      <c r="K3" s="5">
        <v>14</v>
      </c>
      <c r="L3" s="5">
        <v>22</v>
      </c>
      <c r="M3" s="3" t="s">
        <v>32</v>
      </c>
      <c r="N3" s="3" t="s">
        <v>23</v>
      </c>
    </row>
    <row r="4" spans="1:14" ht="15" customHeight="1" x14ac:dyDescent="0.3">
      <c r="A4" s="3">
        <v>1003</v>
      </c>
      <c r="B4" s="4">
        <v>45354</v>
      </c>
      <c r="C4" s="3" t="s">
        <v>38</v>
      </c>
      <c r="D4" s="3" t="s">
        <v>39</v>
      </c>
      <c r="E4" s="3">
        <v>1</v>
      </c>
      <c r="F4" s="5">
        <v>85</v>
      </c>
      <c r="G4" s="3" t="s">
        <v>15</v>
      </c>
      <c r="H4" s="3" t="s">
        <v>21</v>
      </c>
      <c r="I4" s="3">
        <v>4</v>
      </c>
      <c r="J4" s="5">
        <v>85</v>
      </c>
      <c r="K4" s="5">
        <v>45</v>
      </c>
      <c r="L4" s="5">
        <v>40</v>
      </c>
      <c r="M4" s="3" t="s">
        <v>17</v>
      </c>
      <c r="N4" s="3" t="s">
        <v>23</v>
      </c>
    </row>
    <row r="5" spans="1:14" ht="15" customHeight="1" x14ac:dyDescent="0.3">
      <c r="A5" s="3">
        <v>1004</v>
      </c>
      <c r="B5" s="4">
        <v>45356</v>
      </c>
      <c r="C5" s="3" t="s">
        <v>40</v>
      </c>
      <c r="D5" s="3" t="s">
        <v>24</v>
      </c>
      <c r="E5" s="3">
        <v>1</v>
      </c>
      <c r="F5" s="5">
        <v>110</v>
      </c>
      <c r="G5" s="3" t="s">
        <v>20</v>
      </c>
      <c r="H5" s="3" t="s">
        <v>16</v>
      </c>
      <c r="I5" s="3">
        <v>5</v>
      </c>
      <c r="J5" s="5">
        <v>110</v>
      </c>
      <c r="K5" s="5">
        <v>60</v>
      </c>
      <c r="L5" s="5">
        <v>50</v>
      </c>
      <c r="M5" s="3" t="s">
        <v>25</v>
      </c>
      <c r="N5" s="3" t="s">
        <v>18</v>
      </c>
    </row>
    <row r="6" spans="1:14" ht="15" customHeight="1" x14ac:dyDescent="0.3">
      <c r="A6" s="3">
        <v>1005</v>
      </c>
      <c r="B6" s="4">
        <v>45358</v>
      </c>
      <c r="C6" s="3" t="s">
        <v>41</v>
      </c>
      <c r="D6" s="3" t="s">
        <v>37</v>
      </c>
      <c r="E6" s="3">
        <v>1</v>
      </c>
      <c r="F6" s="5">
        <v>35</v>
      </c>
      <c r="G6" s="3" t="s">
        <v>33</v>
      </c>
      <c r="H6" s="3" t="s">
        <v>21</v>
      </c>
      <c r="I6" s="3">
        <v>4</v>
      </c>
      <c r="J6" s="5">
        <v>35</v>
      </c>
      <c r="K6" s="5">
        <v>15</v>
      </c>
      <c r="L6" s="5">
        <v>20</v>
      </c>
      <c r="M6" s="3" t="s">
        <v>29</v>
      </c>
      <c r="N6" s="3" t="s">
        <v>23</v>
      </c>
    </row>
    <row r="7" spans="1:14" ht="15" customHeight="1" x14ac:dyDescent="0.3">
      <c r="A7" s="3">
        <v>1006</v>
      </c>
      <c r="B7" s="4">
        <v>45361</v>
      </c>
      <c r="C7" s="3" t="s">
        <v>42</v>
      </c>
      <c r="D7" s="3" t="s">
        <v>27</v>
      </c>
      <c r="E7" s="3">
        <v>1</v>
      </c>
      <c r="F7" s="5">
        <v>250</v>
      </c>
      <c r="G7" s="3" t="s">
        <v>26</v>
      </c>
      <c r="H7" s="3" t="s">
        <v>16</v>
      </c>
      <c r="I7" s="3">
        <v>5</v>
      </c>
      <c r="J7" s="5">
        <v>250</v>
      </c>
      <c r="K7" s="5">
        <v>180</v>
      </c>
      <c r="L7" s="5">
        <v>70</v>
      </c>
      <c r="M7" s="3" t="s">
        <v>22</v>
      </c>
      <c r="N7" s="3" t="s">
        <v>23</v>
      </c>
    </row>
    <row r="8" spans="1:14" ht="15" customHeight="1" x14ac:dyDescent="0.3">
      <c r="A8" s="3">
        <v>1007</v>
      </c>
      <c r="B8" s="4">
        <v>45363</v>
      </c>
      <c r="C8" s="3" t="s">
        <v>43</v>
      </c>
      <c r="D8" s="3" t="s">
        <v>19</v>
      </c>
      <c r="E8" s="3">
        <v>1</v>
      </c>
      <c r="F8" s="5">
        <v>45</v>
      </c>
      <c r="G8" s="3" t="s">
        <v>31</v>
      </c>
      <c r="H8" s="3" t="s">
        <v>28</v>
      </c>
      <c r="I8" s="3">
        <v>3</v>
      </c>
      <c r="J8" s="5">
        <v>45</v>
      </c>
      <c r="K8" s="5">
        <v>20</v>
      </c>
      <c r="L8" s="5">
        <v>25</v>
      </c>
      <c r="M8" s="3" t="s">
        <v>32</v>
      </c>
      <c r="N8" s="3" t="s">
        <v>23</v>
      </c>
    </row>
    <row r="9" spans="1:14" ht="15" customHeight="1" x14ac:dyDescent="0.3">
      <c r="A9" s="3">
        <v>1008</v>
      </c>
      <c r="B9" s="4">
        <v>45366</v>
      </c>
      <c r="C9" s="3" t="s">
        <v>44</v>
      </c>
      <c r="D9" s="3" t="s">
        <v>19</v>
      </c>
      <c r="E9" s="3">
        <v>3</v>
      </c>
      <c r="F9" s="5">
        <v>15</v>
      </c>
      <c r="G9" s="3" t="s">
        <v>15</v>
      </c>
      <c r="H9" s="3" t="s">
        <v>21</v>
      </c>
      <c r="I9" s="3">
        <v>4</v>
      </c>
      <c r="J9" s="5">
        <v>45</v>
      </c>
      <c r="K9" s="5">
        <v>18</v>
      </c>
      <c r="L9" s="5">
        <v>27</v>
      </c>
      <c r="M9" s="3" t="s">
        <v>17</v>
      </c>
      <c r="N9" s="3" t="s">
        <v>23</v>
      </c>
    </row>
    <row r="10" spans="1:14" ht="15" customHeight="1" x14ac:dyDescent="0.3">
      <c r="A10" s="3">
        <v>1009</v>
      </c>
      <c r="B10" s="4">
        <v>45369</v>
      </c>
      <c r="C10" s="3" t="s">
        <v>45</v>
      </c>
      <c r="D10" s="3" t="s">
        <v>37</v>
      </c>
      <c r="E10" s="3">
        <v>1</v>
      </c>
      <c r="F10" s="5">
        <v>90</v>
      </c>
      <c r="G10" s="3" t="s">
        <v>34</v>
      </c>
      <c r="H10" s="3" t="s">
        <v>16</v>
      </c>
      <c r="I10" s="3">
        <v>5</v>
      </c>
      <c r="J10" s="5">
        <v>90</v>
      </c>
      <c r="K10" s="5">
        <v>50</v>
      </c>
      <c r="L10" s="5">
        <v>40</v>
      </c>
      <c r="M10" s="3" t="s">
        <v>25</v>
      </c>
      <c r="N10" s="3" t="s">
        <v>23</v>
      </c>
    </row>
    <row r="11" spans="1:14" ht="15" customHeight="1" x14ac:dyDescent="0.3">
      <c r="A11" s="3">
        <v>1010</v>
      </c>
      <c r="B11" s="4">
        <v>45371</v>
      </c>
      <c r="C11" s="3" t="s">
        <v>46</v>
      </c>
      <c r="D11" s="3" t="s">
        <v>19</v>
      </c>
      <c r="E11" s="3">
        <v>2</v>
      </c>
      <c r="F11" s="5">
        <v>65</v>
      </c>
      <c r="G11" s="3" t="s">
        <v>33</v>
      </c>
      <c r="H11" s="3" t="s">
        <v>21</v>
      </c>
      <c r="I11" s="3">
        <v>4</v>
      </c>
      <c r="J11" s="5">
        <v>130</v>
      </c>
      <c r="K11" s="5">
        <v>70</v>
      </c>
      <c r="L11" s="5">
        <v>60</v>
      </c>
      <c r="M11" s="3" t="s">
        <v>29</v>
      </c>
      <c r="N11" s="3" t="s">
        <v>23</v>
      </c>
    </row>
    <row r="12" spans="1:14" ht="15" customHeight="1" x14ac:dyDescent="0.3">
      <c r="A12" s="3">
        <v>1011</v>
      </c>
      <c r="B12" s="4">
        <v>45373</v>
      </c>
      <c r="C12" s="3" t="s">
        <v>47</v>
      </c>
      <c r="D12" s="3" t="s">
        <v>14</v>
      </c>
      <c r="E12" s="3">
        <v>1</v>
      </c>
      <c r="F12" s="5">
        <v>28</v>
      </c>
      <c r="G12" s="3" t="s">
        <v>26</v>
      </c>
      <c r="H12" s="3" t="s">
        <v>28</v>
      </c>
      <c r="I12" s="3">
        <v>5</v>
      </c>
      <c r="J12" s="5">
        <v>28</v>
      </c>
      <c r="K12" s="5">
        <v>12</v>
      </c>
      <c r="L12" s="1">
        <v>30</v>
      </c>
      <c r="M12" s="3" t="s">
        <v>22</v>
      </c>
      <c r="N12" s="3" t="s">
        <v>23</v>
      </c>
    </row>
    <row r="13" spans="1:14" ht="15" customHeight="1" x14ac:dyDescent="0.3">
      <c r="A13" s="3">
        <v>1012</v>
      </c>
      <c r="B13" s="4">
        <v>45376</v>
      </c>
      <c r="C13" s="3" t="s">
        <v>48</v>
      </c>
      <c r="D13" s="3" t="s">
        <v>27</v>
      </c>
      <c r="E13" s="3">
        <v>1</v>
      </c>
      <c r="F13" s="5">
        <v>55</v>
      </c>
      <c r="G13" s="3" t="s">
        <v>31</v>
      </c>
      <c r="H13" s="3" t="s">
        <v>16</v>
      </c>
      <c r="I13" s="3">
        <v>2</v>
      </c>
      <c r="J13" s="5">
        <v>55</v>
      </c>
      <c r="K13" s="5">
        <v>25</v>
      </c>
      <c r="L13" s="5">
        <v>30</v>
      </c>
      <c r="M13" s="3" t="s">
        <v>32</v>
      </c>
      <c r="N13" s="3" t="s">
        <v>18</v>
      </c>
    </row>
    <row r="14" spans="1:14" ht="15" customHeight="1" x14ac:dyDescent="0.3">
      <c r="A14" s="3">
        <v>1013</v>
      </c>
      <c r="B14" s="4">
        <v>45378</v>
      </c>
      <c r="C14" s="3" t="s">
        <v>49</v>
      </c>
      <c r="D14" s="3" t="s">
        <v>39</v>
      </c>
      <c r="E14" s="3">
        <v>4</v>
      </c>
      <c r="F14" s="5">
        <v>20</v>
      </c>
      <c r="G14" s="3" t="s">
        <v>20</v>
      </c>
      <c r="H14" s="3" t="s">
        <v>21</v>
      </c>
      <c r="I14" s="3">
        <v>4</v>
      </c>
      <c r="J14" s="5">
        <v>80</v>
      </c>
      <c r="K14" s="5">
        <v>32</v>
      </c>
      <c r="L14" s="5">
        <v>48</v>
      </c>
      <c r="M14" s="3" t="s">
        <v>17</v>
      </c>
      <c r="N14" s="3" t="s">
        <v>23</v>
      </c>
    </row>
    <row r="15" spans="1:14" ht="15" customHeight="1" x14ac:dyDescent="0.3">
      <c r="A15" s="3">
        <v>1014</v>
      </c>
      <c r="B15" s="4">
        <v>45380</v>
      </c>
      <c r="C15" s="3" t="s">
        <v>50</v>
      </c>
      <c r="D15" s="3" t="s">
        <v>14</v>
      </c>
      <c r="E15" s="3">
        <v>1</v>
      </c>
      <c r="F15" s="5">
        <v>42</v>
      </c>
      <c r="G15" s="3" t="s">
        <v>15</v>
      </c>
      <c r="H15" s="3" t="s">
        <v>16</v>
      </c>
      <c r="I15" s="3">
        <v>4</v>
      </c>
      <c r="J15" s="5">
        <v>42</v>
      </c>
      <c r="K15" s="5">
        <v>18</v>
      </c>
      <c r="L15" s="5">
        <v>24</v>
      </c>
      <c r="M15" s="3" t="s">
        <v>25</v>
      </c>
      <c r="N15" s="3" t="s">
        <v>23</v>
      </c>
    </row>
    <row r="16" spans="1:14" ht="15" customHeight="1" x14ac:dyDescent="0.3">
      <c r="A16" s="3">
        <v>1015</v>
      </c>
      <c r="B16" s="4">
        <v>45381</v>
      </c>
      <c r="C16" s="3" t="s">
        <v>51</v>
      </c>
      <c r="D16" s="3" t="s">
        <v>37</v>
      </c>
      <c r="E16" s="3">
        <v>5</v>
      </c>
      <c r="F16" s="5">
        <v>8</v>
      </c>
      <c r="G16" s="3" t="s">
        <v>34</v>
      </c>
      <c r="H16" s="3" t="s">
        <v>28</v>
      </c>
      <c r="I16" s="3">
        <v>5</v>
      </c>
      <c r="J16" s="5">
        <v>40</v>
      </c>
      <c r="K16" s="5">
        <v>15</v>
      </c>
      <c r="L16" s="5">
        <v>25</v>
      </c>
      <c r="M16" s="3" t="s">
        <v>29</v>
      </c>
      <c r="N16" s="3" t="s">
        <v>23</v>
      </c>
    </row>
    <row r="17" spans="1:14" ht="15" customHeight="1" x14ac:dyDescent="0.3">
      <c r="A17" s="3">
        <v>1016</v>
      </c>
      <c r="B17" s="4">
        <v>45384</v>
      </c>
      <c r="C17" s="3" t="s">
        <v>52</v>
      </c>
      <c r="D17" s="3" t="s">
        <v>37</v>
      </c>
      <c r="E17" s="3">
        <v>3</v>
      </c>
      <c r="F17" s="5">
        <v>12</v>
      </c>
      <c r="G17" s="3" t="s">
        <v>26</v>
      </c>
      <c r="H17" s="3" t="s">
        <v>28</v>
      </c>
      <c r="I17" s="3">
        <v>5</v>
      </c>
      <c r="J17" s="5">
        <v>36</v>
      </c>
      <c r="K17" s="5">
        <v>15</v>
      </c>
      <c r="L17" s="5">
        <v>21</v>
      </c>
      <c r="M17" s="3" t="s">
        <v>22</v>
      </c>
      <c r="N17" s="3" t="s">
        <v>23</v>
      </c>
    </row>
    <row r="18" spans="1:14" ht="15" customHeight="1" x14ac:dyDescent="0.3">
      <c r="A18" s="3">
        <v>1017</v>
      </c>
      <c r="B18" s="4">
        <v>45387</v>
      </c>
      <c r="C18" s="3" t="s">
        <v>53</v>
      </c>
      <c r="D18" s="3" t="s">
        <v>19</v>
      </c>
      <c r="E18" s="3">
        <v>2</v>
      </c>
      <c r="F18" s="5">
        <v>18</v>
      </c>
      <c r="G18" s="3" t="s">
        <v>31</v>
      </c>
      <c r="H18" s="3" t="s">
        <v>21</v>
      </c>
      <c r="I18" s="3">
        <v>4</v>
      </c>
      <c r="J18" s="5">
        <v>36</v>
      </c>
      <c r="K18" s="5">
        <v>16</v>
      </c>
      <c r="L18" s="5">
        <v>20</v>
      </c>
      <c r="M18" s="3" t="s">
        <v>32</v>
      </c>
      <c r="N18" s="3" t="s">
        <v>23</v>
      </c>
    </row>
    <row r="19" spans="1:14" ht="15" customHeight="1" x14ac:dyDescent="0.3">
      <c r="A19" s="3">
        <v>1018</v>
      </c>
      <c r="B19" s="4">
        <v>45390</v>
      </c>
      <c r="C19" s="3" t="s">
        <v>54</v>
      </c>
      <c r="D19" s="3" t="s">
        <v>24</v>
      </c>
      <c r="E19" s="3">
        <v>1</v>
      </c>
      <c r="F19" s="5">
        <v>95</v>
      </c>
      <c r="G19" s="3" t="s">
        <v>15</v>
      </c>
      <c r="H19" s="3" t="s">
        <v>16</v>
      </c>
      <c r="I19" s="3">
        <v>4</v>
      </c>
      <c r="J19" s="5">
        <v>95</v>
      </c>
      <c r="K19" s="5">
        <v>55</v>
      </c>
      <c r="L19" s="5">
        <v>40</v>
      </c>
      <c r="M19" s="3" t="s">
        <v>17</v>
      </c>
      <c r="N19" s="3" t="s">
        <v>23</v>
      </c>
    </row>
    <row r="20" spans="1:14" ht="15" customHeight="1" x14ac:dyDescent="0.3">
      <c r="A20" s="3">
        <v>1019</v>
      </c>
      <c r="B20" s="4">
        <v>45392</v>
      </c>
      <c r="C20" s="3" t="s">
        <v>55</v>
      </c>
      <c r="D20" s="3" t="s">
        <v>14</v>
      </c>
      <c r="E20" s="3">
        <v>1</v>
      </c>
      <c r="F20" s="5">
        <v>45</v>
      </c>
      <c r="G20" s="3" t="s">
        <v>20</v>
      </c>
      <c r="H20" s="3" t="s">
        <v>21</v>
      </c>
      <c r="I20" s="3">
        <v>5</v>
      </c>
      <c r="J20" s="5">
        <v>45</v>
      </c>
      <c r="K20" s="5">
        <v>20</v>
      </c>
      <c r="L20" s="5">
        <v>25</v>
      </c>
      <c r="M20" s="3" t="s">
        <v>25</v>
      </c>
      <c r="N20" s="3" t="s">
        <v>23</v>
      </c>
    </row>
    <row r="21" spans="1:14" ht="15" customHeight="1" x14ac:dyDescent="0.3">
      <c r="A21" s="3">
        <v>1020</v>
      </c>
      <c r="B21" s="4">
        <v>45394</v>
      </c>
      <c r="C21" s="3" t="s">
        <v>56</v>
      </c>
      <c r="D21" s="3" t="s">
        <v>27</v>
      </c>
      <c r="E21" s="3">
        <v>1</v>
      </c>
      <c r="F21" s="5">
        <v>60</v>
      </c>
      <c r="G21" s="3" t="s">
        <v>33</v>
      </c>
      <c r="H21" s="3" t="s">
        <v>16</v>
      </c>
      <c r="I21" s="3">
        <v>3</v>
      </c>
      <c r="J21" s="5">
        <v>60</v>
      </c>
      <c r="K21" s="5">
        <v>35</v>
      </c>
      <c r="L21" s="5">
        <v>25</v>
      </c>
      <c r="M21" s="3" t="s">
        <v>29</v>
      </c>
      <c r="N21" s="3" t="s">
        <v>18</v>
      </c>
    </row>
    <row r="22" spans="1:14" ht="15" customHeight="1" x14ac:dyDescent="0.3">
      <c r="A22" s="3">
        <v>1021</v>
      </c>
      <c r="B22" s="4">
        <v>45397</v>
      </c>
      <c r="C22" s="3" t="s">
        <v>57</v>
      </c>
      <c r="D22" s="3" t="s">
        <v>14</v>
      </c>
      <c r="E22" s="3">
        <v>4</v>
      </c>
      <c r="F22" s="5">
        <v>10</v>
      </c>
      <c r="G22" s="3" t="s">
        <v>34</v>
      </c>
      <c r="H22" s="3" t="s">
        <v>28</v>
      </c>
      <c r="I22" s="3">
        <v>5</v>
      </c>
      <c r="J22" s="5">
        <v>40</v>
      </c>
      <c r="K22" s="5">
        <v>16</v>
      </c>
      <c r="L22" s="5">
        <v>24</v>
      </c>
      <c r="M22" s="3" t="s">
        <v>22</v>
      </c>
      <c r="N22" s="3" t="s">
        <v>23</v>
      </c>
    </row>
    <row r="23" spans="1:14" ht="15" customHeight="1" x14ac:dyDescent="0.3">
      <c r="A23" s="3">
        <v>1022</v>
      </c>
      <c r="B23" s="4">
        <v>45399</v>
      </c>
      <c r="C23" s="3" t="s">
        <v>58</v>
      </c>
      <c r="D23" s="3" t="s">
        <v>19</v>
      </c>
      <c r="E23" s="3">
        <v>1</v>
      </c>
      <c r="F23" s="5">
        <v>35</v>
      </c>
      <c r="G23" s="3" t="s">
        <v>26</v>
      </c>
      <c r="H23" s="3" t="s">
        <v>21</v>
      </c>
      <c r="I23" s="3">
        <v>4</v>
      </c>
      <c r="J23" s="5">
        <v>35</v>
      </c>
      <c r="K23" s="5">
        <v>15</v>
      </c>
      <c r="L23" s="5">
        <v>20</v>
      </c>
      <c r="M23" s="3" t="s">
        <v>32</v>
      </c>
      <c r="N23" s="3" t="s">
        <v>23</v>
      </c>
    </row>
    <row r="24" spans="1:14" ht="15" customHeight="1" x14ac:dyDescent="0.3">
      <c r="A24" s="3">
        <v>1023</v>
      </c>
      <c r="B24" s="4">
        <v>45402</v>
      </c>
      <c r="C24" s="3" t="s">
        <v>59</v>
      </c>
      <c r="D24" s="3" t="s">
        <v>19</v>
      </c>
      <c r="E24" s="3">
        <v>2</v>
      </c>
      <c r="F24" s="5">
        <v>15</v>
      </c>
      <c r="G24" s="3" t="s">
        <v>31</v>
      </c>
      <c r="H24" s="3" t="s">
        <v>16</v>
      </c>
      <c r="I24" s="3">
        <v>4</v>
      </c>
      <c r="J24" s="5">
        <v>30</v>
      </c>
      <c r="K24" s="5">
        <v>12</v>
      </c>
      <c r="L24" s="5">
        <v>18</v>
      </c>
      <c r="M24" s="3" t="s">
        <v>17</v>
      </c>
      <c r="N24" s="3" t="s">
        <v>23</v>
      </c>
    </row>
    <row r="25" spans="1:14" ht="15" customHeight="1" x14ac:dyDescent="0.3">
      <c r="A25" s="3">
        <v>1024</v>
      </c>
      <c r="B25" s="4">
        <v>45404</v>
      </c>
      <c r="C25" s="3" t="s">
        <v>60</v>
      </c>
      <c r="D25" s="3" t="s">
        <v>37</v>
      </c>
      <c r="E25" s="3">
        <v>1</v>
      </c>
      <c r="F25" s="5">
        <v>18</v>
      </c>
      <c r="G25" s="3" t="s">
        <v>15</v>
      </c>
      <c r="H25" s="3" t="s">
        <v>28</v>
      </c>
      <c r="I25" s="3">
        <v>3</v>
      </c>
      <c r="J25" s="5">
        <v>18</v>
      </c>
      <c r="K25" s="5">
        <v>8</v>
      </c>
      <c r="L25" s="5">
        <v>10</v>
      </c>
      <c r="M25" s="3" t="s">
        <v>25</v>
      </c>
      <c r="N25" s="3" t="s">
        <v>23</v>
      </c>
    </row>
    <row r="26" spans="1:14" ht="15" customHeight="1" x14ac:dyDescent="0.3">
      <c r="A26" s="3">
        <v>1025</v>
      </c>
      <c r="B26" s="4">
        <v>45407</v>
      </c>
      <c r="C26" s="3" t="s">
        <v>61</v>
      </c>
      <c r="D26" s="3" t="s">
        <v>39</v>
      </c>
      <c r="E26" s="3">
        <v>1</v>
      </c>
      <c r="F26" s="5">
        <v>120</v>
      </c>
      <c r="G26" s="3" t="s">
        <v>20</v>
      </c>
      <c r="H26" s="3" t="s">
        <v>21</v>
      </c>
      <c r="I26" s="3">
        <v>5</v>
      </c>
      <c r="J26" s="5">
        <v>120</v>
      </c>
      <c r="K26" s="5">
        <v>70</v>
      </c>
      <c r="L26" s="5">
        <v>50</v>
      </c>
      <c r="M26" s="3" t="s">
        <v>29</v>
      </c>
      <c r="N26" s="3" t="s">
        <v>23</v>
      </c>
    </row>
    <row r="27" spans="1:14" ht="15" customHeight="1" x14ac:dyDescent="0.3">
      <c r="A27" s="3">
        <v>1026</v>
      </c>
      <c r="B27" s="4">
        <v>45410</v>
      </c>
      <c r="C27" s="3" t="s">
        <v>62</v>
      </c>
      <c r="D27" s="3" t="s">
        <v>39</v>
      </c>
      <c r="E27" s="3">
        <v>5</v>
      </c>
      <c r="F27" s="5">
        <v>6</v>
      </c>
      <c r="G27" s="3" t="s">
        <v>33</v>
      </c>
      <c r="H27" s="3" t="s">
        <v>16</v>
      </c>
      <c r="I27" s="3">
        <v>4</v>
      </c>
      <c r="J27" s="5">
        <v>30</v>
      </c>
      <c r="K27" s="5">
        <v>15</v>
      </c>
      <c r="L27" s="5">
        <v>15</v>
      </c>
      <c r="M27" s="3" t="s">
        <v>22</v>
      </c>
      <c r="N27" s="3" t="s">
        <v>23</v>
      </c>
    </row>
    <row r="28" spans="1:14" ht="15" customHeight="1" x14ac:dyDescent="0.3">
      <c r="A28" s="3">
        <v>1027</v>
      </c>
      <c r="B28" s="4">
        <v>45414</v>
      </c>
      <c r="C28" s="3" t="s">
        <v>63</v>
      </c>
      <c r="D28" s="3" t="s">
        <v>19</v>
      </c>
      <c r="E28" s="3">
        <v>3</v>
      </c>
      <c r="F28" s="5">
        <v>12</v>
      </c>
      <c r="G28" s="3" t="s">
        <v>34</v>
      </c>
      <c r="H28" s="3" t="s">
        <v>21</v>
      </c>
      <c r="I28" s="3">
        <v>5</v>
      </c>
      <c r="J28" s="5">
        <v>36</v>
      </c>
      <c r="K28" s="5">
        <v>15</v>
      </c>
      <c r="L28" s="5">
        <v>21</v>
      </c>
      <c r="M28" s="3" t="s">
        <v>32</v>
      </c>
      <c r="N28" s="3" t="s">
        <v>23</v>
      </c>
    </row>
    <row r="29" spans="1:14" ht="15" customHeight="1" x14ac:dyDescent="0.3">
      <c r="A29" s="3">
        <v>1028</v>
      </c>
      <c r="B29" s="4">
        <v>45417</v>
      </c>
      <c r="C29" s="3" t="s">
        <v>64</v>
      </c>
      <c r="D29" s="3" t="s">
        <v>14</v>
      </c>
      <c r="E29" s="3">
        <v>1</v>
      </c>
      <c r="F29" s="5">
        <v>30</v>
      </c>
      <c r="G29" s="3" t="s">
        <v>26</v>
      </c>
      <c r="H29" s="3" t="s">
        <v>16</v>
      </c>
      <c r="I29" s="3">
        <v>4</v>
      </c>
      <c r="J29" s="5">
        <v>30</v>
      </c>
      <c r="K29" s="5">
        <v>14</v>
      </c>
      <c r="L29" s="5">
        <v>16</v>
      </c>
      <c r="M29" s="3" t="s">
        <v>17</v>
      </c>
      <c r="N29" s="3" t="s">
        <v>18</v>
      </c>
    </row>
    <row r="30" spans="1:14" ht="15" customHeight="1" x14ac:dyDescent="0.3">
      <c r="A30" s="3">
        <v>1029</v>
      </c>
      <c r="B30" s="4">
        <v>45420</v>
      </c>
      <c r="C30" s="3" t="s">
        <v>65</v>
      </c>
      <c r="D30" s="3" t="s">
        <v>14</v>
      </c>
      <c r="E30" s="3">
        <v>2</v>
      </c>
      <c r="F30" s="5">
        <v>25</v>
      </c>
      <c r="G30" s="3" t="s">
        <v>31</v>
      </c>
      <c r="H30" s="3" t="s">
        <v>28</v>
      </c>
      <c r="I30" s="3">
        <v>5</v>
      </c>
      <c r="J30" s="5">
        <v>50</v>
      </c>
      <c r="K30" s="5">
        <v>22</v>
      </c>
      <c r="L30" s="5">
        <v>28</v>
      </c>
      <c r="M30" s="3" t="s">
        <v>25</v>
      </c>
      <c r="N30" s="3" t="s">
        <v>23</v>
      </c>
    </row>
    <row r="31" spans="1:14" ht="15" customHeight="1" x14ac:dyDescent="0.3">
      <c r="A31" s="3">
        <v>1030</v>
      </c>
      <c r="B31" s="4">
        <v>45422</v>
      </c>
      <c r="C31" s="3" t="s">
        <v>66</v>
      </c>
      <c r="D31" s="3" t="s">
        <v>19</v>
      </c>
      <c r="E31" s="3">
        <v>1</v>
      </c>
      <c r="F31" s="5">
        <v>22</v>
      </c>
      <c r="G31" s="3" t="s">
        <v>15</v>
      </c>
      <c r="H31" s="3" t="s">
        <v>21</v>
      </c>
      <c r="I31" s="3">
        <v>4</v>
      </c>
      <c r="J31" s="5">
        <v>22</v>
      </c>
      <c r="K31" s="5">
        <v>10</v>
      </c>
      <c r="L31" s="5">
        <v>12</v>
      </c>
      <c r="M31" s="3" t="s">
        <v>29</v>
      </c>
      <c r="N31" s="3" t="s">
        <v>23</v>
      </c>
    </row>
    <row r="32" spans="1:14" ht="15" customHeight="1" x14ac:dyDescent="0.3">
      <c r="A32" s="3">
        <v>1031</v>
      </c>
      <c r="B32" s="4">
        <v>45424</v>
      </c>
      <c r="C32" s="3" t="s">
        <v>67</v>
      </c>
      <c r="D32" s="3" t="s">
        <v>39</v>
      </c>
      <c r="E32" s="3">
        <v>2</v>
      </c>
      <c r="F32" s="5">
        <v>8</v>
      </c>
      <c r="G32" s="3" t="s">
        <v>20</v>
      </c>
      <c r="H32" s="3" t="s">
        <v>16</v>
      </c>
      <c r="I32" s="3">
        <v>3</v>
      </c>
      <c r="J32" s="5">
        <v>16</v>
      </c>
      <c r="K32" s="5">
        <v>6</v>
      </c>
      <c r="L32" s="5">
        <v>10</v>
      </c>
      <c r="M32" s="3" t="s">
        <v>22</v>
      </c>
      <c r="N32" s="3" t="s">
        <v>23</v>
      </c>
    </row>
    <row r="33" spans="1:14" ht="15" customHeight="1" x14ac:dyDescent="0.3">
      <c r="A33" s="3">
        <v>1032</v>
      </c>
      <c r="B33" s="4">
        <v>45427</v>
      </c>
      <c r="C33" s="3" t="s">
        <v>68</v>
      </c>
      <c r="D33" s="3" t="s">
        <v>37</v>
      </c>
      <c r="E33" s="3">
        <v>1</v>
      </c>
      <c r="F33" s="5">
        <v>28</v>
      </c>
      <c r="G33" s="3" t="s">
        <v>33</v>
      </c>
      <c r="H33" s="3" t="s">
        <v>28</v>
      </c>
      <c r="I33" s="3">
        <v>4</v>
      </c>
      <c r="J33" s="5">
        <v>28</v>
      </c>
      <c r="K33" s="5">
        <v>12</v>
      </c>
      <c r="L33" s="5">
        <v>16</v>
      </c>
      <c r="M33" s="3" t="s">
        <v>32</v>
      </c>
      <c r="N33" s="3" t="s">
        <v>23</v>
      </c>
    </row>
    <row r="34" spans="1:14" ht="15" customHeight="1" x14ac:dyDescent="0.3">
      <c r="A34" s="3">
        <v>1033</v>
      </c>
      <c r="B34" s="4">
        <v>45430</v>
      </c>
      <c r="C34" s="3" t="s">
        <v>69</v>
      </c>
      <c r="D34" s="3" t="s">
        <v>37</v>
      </c>
      <c r="E34" s="3">
        <v>1</v>
      </c>
      <c r="F34" s="5">
        <v>20</v>
      </c>
      <c r="G34" s="3" t="s">
        <v>34</v>
      </c>
      <c r="H34" s="3" t="s">
        <v>21</v>
      </c>
      <c r="I34" s="3">
        <v>5</v>
      </c>
      <c r="J34" s="5">
        <v>20</v>
      </c>
      <c r="K34" s="5">
        <v>9</v>
      </c>
      <c r="L34" s="5">
        <v>11</v>
      </c>
      <c r="M34" s="3" t="s">
        <v>17</v>
      </c>
      <c r="N34" s="3" t="s">
        <v>23</v>
      </c>
    </row>
    <row r="35" spans="1:14" ht="15" customHeight="1" x14ac:dyDescent="0.3">
      <c r="A35" s="3">
        <v>1034</v>
      </c>
      <c r="B35" s="4">
        <v>45432</v>
      </c>
      <c r="C35" s="3" t="s">
        <v>70</v>
      </c>
      <c r="D35" s="3" t="s">
        <v>39</v>
      </c>
      <c r="E35" s="3">
        <v>1</v>
      </c>
      <c r="F35" s="5">
        <v>150</v>
      </c>
      <c r="G35" s="3" t="s">
        <v>26</v>
      </c>
      <c r="H35" s="3" t="s">
        <v>16</v>
      </c>
      <c r="I35" s="3">
        <v>4</v>
      </c>
      <c r="J35" s="5">
        <v>150</v>
      </c>
      <c r="K35" s="5">
        <v>90</v>
      </c>
      <c r="L35" s="5">
        <v>60</v>
      </c>
      <c r="M35" s="3" t="s">
        <v>25</v>
      </c>
      <c r="N35" s="3" t="s">
        <v>23</v>
      </c>
    </row>
    <row r="36" spans="1:14" ht="15" customHeight="1" x14ac:dyDescent="0.3">
      <c r="A36" s="3">
        <v>1035</v>
      </c>
      <c r="B36" s="4">
        <v>45434</v>
      </c>
      <c r="C36" s="3" t="s">
        <v>71</v>
      </c>
      <c r="D36" s="3" t="s">
        <v>39</v>
      </c>
      <c r="E36" s="3">
        <v>1</v>
      </c>
      <c r="F36" s="5">
        <v>300</v>
      </c>
      <c r="G36" s="3" t="s">
        <v>31</v>
      </c>
      <c r="H36" s="3" t="s">
        <v>21</v>
      </c>
      <c r="I36" s="3">
        <v>5</v>
      </c>
      <c r="J36" s="5">
        <v>300</v>
      </c>
      <c r="K36" s="5">
        <v>180</v>
      </c>
      <c r="L36" s="5">
        <v>120</v>
      </c>
      <c r="M36" s="3" t="s">
        <v>29</v>
      </c>
      <c r="N36" s="3" t="s">
        <v>23</v>
      </c>
    </row>
    <row r="37" spans="1:14" ht="15" customHeight="1" x14ac:dyDescent="0.3">
      <c r="A37" s="3">
        <v>1036</v>
      </c>
      <c r="B37" s="4">
        <v>45437</v>
      </c>
      <c r="C37" s="3" t="s">
        <v>72</v>
      </c>
      <c r="D37" s="3" t="s">
        <v>19</v>
      </c>
      <c r="E37" s="3">
        <v>1</v>
      </c>
      <c r="F37" s="5">
        <v>85</v>
      </c>
      <c r="G37" s="3" t="s">
        <v>15</v>
      </c>
      <c r="H37" s="3" t="s">
        <v>28</v>
      </c>
      <c r="I37" s="3">
        <v>4</v>
      </c>
      <c r="J37" s="5">
        <v>85</v>
      </c>
      <c r="K37" s="5">
        <v>45</v>
      </c>
      <c r="L37" s="5">
        <v>40</v>
      </c>
      <c r="M37" s="3" t="s">
        <v>22</v>
      </c>
      <c r="N37" s="3" t="s">
        <v>23</v>
      </c>
    </row>
    <row r="38" spans="1:14" ht="15" customHeight="1" x14ac:dyDescent="0.3">
      <c r="A38" s="3">
        <v>1037</v>
      </c>
      <c r="B38" s="4">
        <v>45440</v>
      </c>
      <c r="C38" s="3" t="s">
        <v>73</v>
      </c>
      <c r="D38" s="3" t="s">
        <v>19</v>
      </c>
      <c r="E38" s="3">
        <v>1</v>
      </c>
      <c r="F38" s="5">
        <v>50</v>
      </c>
      <c r="G38" s="3" t="s">
        <v>20</v>
      </c>
      <c r="H38" s="3" t="s">
        <v>16</v>
      </c>
      <c r="I38" s="3">
        <v>4</v>
      </c>
      <c r="J38" s="5">
        <v>50</v>
      </c>
      <c r="K38" s="5">
        <v>25</v>
      </c>
      <c r="L38" s="5">
        <v>25</v>
      </c>
      <c r="M38" s="3" t="s">
        <v>32</v>
      </c>
      <c r="N38" s="3" t="s">
        <v>18</v>
      </c>
    </row>
    <row r="39" spans="1:14" ht="15" customHeight="1" x14ac:dyDescent="0.3">
      <c r="A39" s="3">
        <v>1038</v>
      </c>
      <c r="B39" s="4">
        <v>45442</v>
      </c>
      <c r="C39" s="3" t="s">
        <v>74</v>
      </c>
      <c r="D39" s="3" t="s">
        <v>14</v>
      </c>
      <c r="E39" s="3">
        <v>1</v>
      </c>
      <c r="F39" s="5">
        <v>40</v>
      </c>
      <c r="G39" s="3" t="s">
        <v>33</v>
      </c>
      <c r="H39" s="3" t="s">
        <v>21</v>
      </c>
      <c r="I39" s="3">
        <v>5</v>
      </c>
      <c r="J39" s="5">
        <v>40</v>
      </c>
      <c r="K39" s="5">
        <v>18</v>
      </c>
      <c r="L39" s="5">
        <v>22</v>
      </c>
      <c r="M39" s="3" t="s">
        <v>17</v>
      </c>
      <c r="N39" s="3" t="s">
        <v>23</v>
      </c>
    </row>
    <row r="40" spans="1:14" ht="15" customHeight="1" x14ac:dyDescent="0.3">
      <c r="A40" s="3">
        <v>1039</v>
      </c>
      <c r="B40" s="4">
        <v>45445</v>
      </c>
      <c r="C40" s="3" t="s">
        <v>75</v>
      </c>
      <c r="D40" s="3" t="s">
        <v>14</v>
      </c>
      <c r="E40" s="3">
        <v>2</v>
      </c>
      <c r="F40" s="5">
        <v>35</v>
      </c>
      <c r="G40" s="3" t="s">
        <v>34</v>
      </c>
      <c r="H40" s="3" t="s">
        <v>28</v>
      </c>
      <c r="I40" s="3">
        <v>4</v>
      </c>
      <c r="J40" s="5">
        <v>70</v>
      </c>
      <c r="K40" s="5">
        <v>30</v>
      </c>
      <c r="L40" s="5">
        <v>40</v>
      </c>
      <c r="M40" s="3" t="s">
        <v>25</v>
      </c>
      <c r="N40" s="3" t="s">
        <v>23</v>
      </c>
    </row>
    <row r="41" spans="1:14" ht="15" customHeight="1" x14ac:dyDescent="0.3">
      <c r="A41" s="3">
        <v>1040</v>
      </c>
      <c r="B41" s="4">
        <v>45448</v>
      </c>
      <c r="C41" s="3" t="s">
        <v>76</v>
      </c>
      <c r="D41" s="3" t="s">
        <v>24</v>
      </c>
      <c r="E41" s="3">
        <v>1</v>
      </c>
      <c r="F41" s="5">
        <v>130</v>
      </c>
      <c r="G41" s="3" t="s">
        <v>26</v>
      </c>
      <c r="H41" s="3" t="s">
        <v>16</v>
      </c>
      <c r="I41" s="3">
        <v>5</v>
      </c>
      <c r="J41" s="5">
        <v>130</v>
      </c>
      <c r="K41" s="5">
        <v>80</v>
      </c>
      <c r="L41" s="5">
        <v>50</v>
      </c>
      <c r="M41" s="3" t="s">
        <v>29</v>
      </c>
      <c r="N41" s="3" t="s">
        <v>23</v>
      </c>
    </row>
    <row r="42" spans="1:14" ht="15" customHeight="1" x14ac:dyDescent="0.3">
      <c r="A42" s="3">
        <v>1042</v>
      </c>
      <c r="B42" s="4">
        <v>45448</v>
      </c>
      <c r="C42" s="3" t="s">
        <v>76</v>
      </c>
      <c r="D42" s="3" t="s">
        <v>81</v>
      </c>
      <c r="E42" s="3">
        <v>3</v>
      </c>
      <c r="F42" s="5">
        <v>130</v>
      </c>
      <c r="G42" s="3" t="s">
        <v>26</v>
      </c>
      <c r="H42" s="3" t="s">
        <v>16</v>
      </c>
      <c r="I42" s="3">
        <v>5</v>
      </c>
      <c r="J42" s="5">
        <v>130</v>
      </c>
      <c r="K42" s="5">
        <v>80</v>
      </c>
      <c r="L42" s="5">
        <v>50</v>
      </c>
      <c r="M42" s="3" t="s">
        <v>29</v>
      </c>
      <c r="N42" s="3" t="s">
        <v>23</v>
      </c>
    </row>
    <row r="43" spans="1:14" ht="15" customHeight="1" x14ac:dyDescent="0.3">
      <c r="A43" s="3">
        <v>1043</v>
      </c>
      <c r="B43" s="4">
        <v>45448</v>
      </c>
      <c r="C43" s="3" t="s">
        <v>76</v>
      </c>
      <c r="D43" s="3" t="s">
        <v>82</v>
      </c>
      <c r="E43" s="3">
        <v>5</v>
      </c>
      <c r="F43" s="5">
        <v>130</v>
      </c>
      <c r="G43" s="3" t="s">
        <v>26</v>
      </c>
      <c r="H43" s="3" t="s">
        <v>16</v>
      </c>
      <c r="I43" s="3">
        <v>5</v>
      </c>
      <c r="J43" s="5">
        <v>130</v>
      </c>
      <c r="K43" s="5">
        <v>80</v>
      </c>
      <c r="L43" s="5">
        <v>50</v>
      </c>
      <c r="M43" s="3" t="s">
        <v>29</v>
      </c>
      <c r="N43" s="3" t="s">
        <v>23</v>
      </c>
    </row>
    <row r="44" spans="1:14" ht="15" customHeight="1" x14ac:dyDescent="0.3">
      <c r="A44" s="3">
        <v>1044</v>
      </c>
      <c r="B44" s="4">
        <v>45448</v>
      </c>
      <c r="C44" s="3" t="s">
        <v>76</v>
      </c>
      <c r="D44" s="3" t="s">
        <v>81</v>
      </c>
      <c r="E44" s="3">
        <v>3</v>
      </c>
      <c r="F44" s="5">
        <v>130</v>
      </c>
      <c r="G44" s="3" t="s">
        <v>26</v>
      </c>
      <c r="H44" s="3" t="s">
        <v>16</v>
      </c>
      <c r="I44" s="3">
        <v>5</v>
      </c>
      <c r="J44" s="5">
        <v>130</v>
      </c>
      <c r="K44" s="5">
        <v>80</v>
      </c>
      <c r="L44" s="5">
        <v>50</v>
      </c>
      <c r="M44" s="3" t="s">
        <v>29</v>
      </c>
      <c r="N44" s="3" t="s">
        <v>23</v>
      </c>
    </row>
    <row r="45" spans="1:14" ht="15" customHeight="1" x14ac:dyDescent="0.3">
      <c r="A45" s="3">
        <v>1045</v>
      </c>
      <c r="B45" s="4">
        <v>45448</v>
      </c>
      <c r="C45" s="3" t="s">
        <v>76</v>
      </c>
      <c r="D45" s="3" t="s">
        <v>82</v>
      </c>
      <c r="E45" s="3">
        <v>5</v>
      </c>
      <c r="F45" s="5">
        <v>130</v>
      </c>
      <c r="G45" s="3" t="s">
        <v>26</v>
      </c>
      <c r="H45" s="3" t="s">
        <v>16</v>
      </c>
      <c r="I45" s="3">
        <v>5</v>
      </c>
      <c r="J45" s="5">
        <v>130</v>
      </c>
      <c r="K45" s="5">
        <v>80</v>
      </c>
      <c r="L45" s="5">
        <v>50</v>
      </c>
      <c r="M45" s="3" t="s">
        <v>29</v>
      </c>
      <c r="N45" s="3" t="s">
        <v>23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B220-2111-8B47-BD0C-CFE8027A0351}">
  <dimension ref="A1:D9"/>
  <sheetViews>
    <sheetView zoomScale="275" zoomScaleNormal="275" workbookViewId="0">
      <selection activeCell="B1" sqref="B1"/>
    </sheetView>
  </sheetViews>
  <sheetFormatPr baseColWidth="10" defaultRowHeight="14.4" x14ac:dyDescent="0.3"/>
  <cols>
    <col min="1" max="1" width="19" customWidth="1"/>
    <col min="3" max="3" width="28.109375" customWidth="1"/>
  </cols>
  <sheetData>
    <row r="1" spans="1:4" x14ac:dyDescent="0.3">
      <c r="A1" s="2" t="s">
        <v>35</v>
      </c>
      <c r="B1" t="s">
        <v>39</v>
      </c>
    </row>
    <row r="3" spans="1:4" x14ac:dyDescent="0.3">
      <c r="A3" t="str" cm="1">
        <f t="array" ref="A3:D9">_xlfn.CHOOSECOLS(_xlfn._xlws.FILTER(Datos!A:N,Datos!D:D=Venta_por_categoria!B1),3,4,5,10)</f>
        <v>Raqueta de Pádel</v>
      </c>
      <c r="B3" t="str">
        <v>Deportes</v>
      </c>
      <c r="C3">
        <v>1</v>
      </c>
      <c r="D3">
        <v>85</v>
      </c>
    </row>
    <row r="4" spans="1:4" x14ac:dyDescent="0.3">
      <c r="A4" t="str">
        <v>Balón de Fútbol</v>
      </c>
      <c r="B4" t="str">
        <v>Deportes</v>
      </c>
      <c r="C4">
        <v>4</v>
      </c>
      <c r="D4">
        <v>80</v>
      </c>
    </row>
    <row r="5" spans="1:4" x14ac:dyDescent="0.3">
      <c r="A5" t="str">
        <v>Raqueta de Tenis</v>
      </c>
      <c r="B5" t="str">
        <v>Deportes</v>
      </c>
      <c r="C5">
        <v>1</v>
      </c>
      <c r="D5">
        <v>120</v>
      </c>
    </row>
    <row r="6" spans="1:4" x14ac:dyDescent="0.3">
      <c r="A6" t="str">
        <v>Bote Pelotas Pádel (Pack 3)</v>
      </c>
      <c r="B6" t="str">
        <v>Deportes</v>
      </c>
      <c r="C6">
        <v>5</v>
      </c>
      <c r="D6">
        <v>30</v>
      </c>
    </row>
    <row r="7" spans="1:4" x14ac:dyDescent="0.3">
      <c r="A7" t="str">
        <v>Muñequeras de Pádel</v>
      </c>
      <c r="B7" t="str">
        <v>Deportes</v>
      </c>
      <c r="C7">
        <v>2</v>
      </c>
      <c r="D7">
        <v>16</v>
      </c>
    </row>
    <row r="8" spans="1:4" x14ac:dyDescent="0.3">
      <c r="A8" t="str">
        <v>Neopreno Surf</v>
      </c>
      <c r="B8" t="str">
        <v>Deportes</v>
      </c>
      <c r="C8">
        <v>1</v>
      </c>
      <c r="D8">
        <v>150</v>
      </c>
    </row>
    <row r="9" spans="1:4" x14ac:dyDescent="0.3">
      <c r="A9" t="str">
        <v>Tabla de Paddle Surf</v>
      </c>
      <c r="B9" t="str">
        <v>Deportes</v>
      </c>
      <c r="C9">
        <v>1</v>
      </c>
      <c r="D9">
        <v>300</v>
      </c>
    </row>
  </sheetData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9CD5CD-FB3F-D945-A974-C4BB68786EFF}">
          <x14:formula1>
            <xm:f>Datos!$D:$D</xm:f>
          </x14:formula1>
          <xm:sqref>B1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2EEC-5AE1-FE41-8602-29A24AD005C2}">
  <dimension ref="A1:P14"/>
  <sheetViews>
    <sheetView topLeftCell="G1" zoomScale="183" zoomScaleNormal="183" workbookViewId="0">
      <selection activeCell="B1" sqref="B1"/>
    </sheetView>
  </sheetViews>
  <sheetFormatPr baseColWidth="10" defaultRowHeight="14.4" x14ac:dyDescent="0.3"/>
  <cols>
    <col min="3" max="3" width="17.109375" customWidth="1"/>
    <col min="5" max="5" width="29.77734375" customWidth="1"/>
  </cols>
  <sheetData>
    <row r="1" spans="1:16" x14ac:dyDescent="0.3">
      <c r="A1" s="2" t="s">
        <v>35</v>
      </c>
      <c r="B1" t="s">
        <v>19</v>
      </c>
    </row>
    <row r="4" spans="1:16" x14ac:dyDescent="0.3">
      <c r="C4" cm="1">
        <f t="array" ref="C4:P14">_xlfn._xlws.FILTER(Datos!A:N,Datos!D:D='venta por_categoria2'!B1)</f>
        <v>1001</v>
      </c>
      <c r="D4">
        <v>45352</v>
      </c>
      <c r="E4" t="str">
        <v>Gafas de sol sport</v>
      </c>
      <c r="F4" t="str">
        <v>Accesorios</v>
      </c>
      <c r="G4">
        <v>1</v>
      </c>
      <c r="H4">
        <v>25.5</v>
      </c>
      <c r="I4" t="str">
        <v>Madrid</v>
      </c>
      <c r="J4" t="str">
        <v>App</v>
      </c>
      <c r="K4">
        <v>4</v>
      </c>
      <c r="L4">
        <v>25.5</v>
      </c>
      <c r="M4">
        <v>10</v>
      </c>
      <c r="N4">
        <v>15.5</v>
      </c>
      <c r="O4" t="str">
        <v>Ana García</v>
      </c>
      <c r="P4" t="str">
        <v>No</v>
      </c>
    </row>
    <row r="5" spans="1:16" x14ac:dyDescent="0.3">
      <c r="C5">
        <v>1007</v>
      </c>
      <c r="D5">
        <v>45363</v>
      </c>
      <c r="E5" t="str">
        <v>Casco de Ciclismo</v>
      </c>
      <c r="F5" t="str">
        <v>Accesorios</v>
      </c>
      <c r="G5">
        <v>1</v>
      </c>
      <c r="H5">
        <v>45</v>
      </c>
      <c r="I5" t="str">
        <v>Barcelona</v>
      </c>
      <c r="J5" t="str">
        <v>App</v>
      </c>
      <c r="K5">
        <v>3</v>
      </c>
      <c r="L5">
        <v>45</v>
      </c>
      <c r="M5">
        <v>20</v>
      </c>
      <c r="N5">
        <v>25</v>
      </c>
      <c r="O5" t="str">
        <v>David Ruiz</v>
      </c>
      <c r="P5" t="str">
        <v>No</v>
      </c>
    </row>
    <row r="6" spans="1:16" x14ac:dyDescent="0.3">
      <c r="C6">
        <v>1008</v>
      </c>
      <c r="D6">
        <v>45366</v>
      </c>
      <c r="E6" t="str">
        <v>Botella Térmica 1L</v>
      </c>
      <c r="F6" t="str">
        <v>Accesorios</v>
      </c>
      <c r="G6">
        <v>3</v>
      </c>
      <c r="H6">
        <v>15</v>
      </c>
      <c r="I6" t="str">
        <v>Valencia</v>
      </c>
      <c r="J6" t="str">
        <v>Tienda</v>
      </c>
      <c r="K6">
        <v>4</v>
      </c>
      <c r="L6">
        <v>45</v>
      </c>
      <c r="M6">
        <v>18</v>
      </c>
      <c r="N6">
        <v>27</v>
      </c>
      <c r="O6" t="str">
        <v>Carlos López</v>
      </c>
      <c r="P6" t="str">
        <v>No</v>
      </c>
    </row>
    <row r="7" spans="1:16" x14ac:dyDescent="0.3">
      <c r="C7">
        <v>1010</v>
      </c>
      <c r="D7">
        <v>45371</v>
      </c>
      <c r="E7" t="str">
        <v>Mochila de Senderismo</v>
      </c>
      <c r="F7" t="str">
        <v>Accesorios</v>
      </c>
      <c r="G7">
        <v>2</v>
      </c>
      <c r="H7">
        <v>65</v>
      </c>
      <c r="I7" t="str">
        <v>Bilbao</v>
      </c>
      <c r="J7" t="str">
        <v>Tienda</v>
      </c>
      <c r="K7">
        <v>4</v>
      </c>
      <c r="L7">
        <v>130</v>
      </c>
      <c r="M7">
        <v>70</v>
      </c>
      <c r="N7">
        <v>60</v>
      </c>
      <c r="O7" t="str">
        <v>Marta Fernández</v>
      </c>
      <c r="P7" t="str">
        <v>No</v>
      </c>
    </row>
    <row r="8" spans="1:16" x14ac:dyDescent="0.3">
      <c r="C8">
        <v>1017</v>
      </c>
      <c r="D8">
        <v>45387</v>
      </c>
      <c r="E8" t="str">
        <v>Gafas de Natación</v>
      </c>
      <c r="F8" t="str">
        <v>Accesorios</v>
      </c>
      <c r="G8">
        <v>2</v>
      </c>
      <c r="H8">
        <v>18</v>
      </c>
      <c r="I8" t="str">
        <v>Barcelona</v>
      </c>
      <c r="J8" t="str">
        <v>Tienda</v>
      </c>
      <c r="K8">
        <v>4</v>
      </c>
      <c r="L8">
        <v>36</v>
      </c>
      <c r="M8">
        <v>16</v>
      </c>
      <c r="N8">
        <v>20</v>
      </c>
      <c r="O8" t="str">
        <v>David Ruiz</v>
      </c>
      <c r="P8" t="str">
        <v>No</v>
      </c>
    </row>
    <row r="9" spans="1:16" x14ac:dyDescent="0.3">
      <c r="C9">
        <v>1022</v>
      </c>
      <c r="D9">
        <v>45399</v>
      </c>
      <c r="E9" t="str">
        <v>Bolsa de Deporte</v>
      </c>
      <c r="F9" t="str">
        <v>Accesorios</v>
      </c>
      <c r="G9">
        <v>1</v>
      </c>
      <c r="H9">
        <v>35</v>
      </c>
      <c r="I9" t="str">
        <v>Madrid</v>
      </c>
      <c r="J9" t="str">
        <v>Tienda</v>
      </c>
      <c r="K9">
        <v>4</v>
      </c>
      <c r="L9">
        <v>35</v>
      </c>
      <c r="M9">
        <v>15</v>
      </c>
      <c r="N9">
        <v>20</v>
      </c>
      <c r="O9" t="str">
        <v>David Ruiz</v>
      </c>
      <c r="P9" t="str">
        <v>No</v>
      </c>
    </row>
    <row r="10" spans="1:16" x14ac:dyDescent="0.3">
      <c r="C10">
        <v>1023</v>
      </c>
      <c r="D10">
        <v>45402</v>
      </c>
      <c r="E10" t="str">
        <v>Gorra Transpirable</v>
      </c>
      <c r="F10" t="str">
        <v>Accesorios</v>
      </c>
      <c r="G10">
        <v>2</v>
      </c>
      <c r="H10">
        <v>15</v>
      </c>
      <c r="I10" t="str">
        <v>Barcelona</v>
      </c>
      <c r="J10" t="str">
        <v>Web</v>
      </c>
      <c r="K10">
        <v>4</v>
      </c>
      <c r="L10">
        <v>30</v>
      </c>
      <c r="M10">
        <v>12</v>
      </c>
      <c r="N10">
        <v>18</v>
      </c>
      <c r="O10" t="str">
        <v>Carlos López</v>
      </c>
      <c r="P10" t="str">
        <v>No</v>
      </c>
    </row>
    <row r="11" spans="1:16" x14ac:dyDescent="0.3">
      <c r="C11">
        <v>1027</v>
      </c>
      <c r="D11">
        <v>45414</v>
      </c>
      <c r="E11" t="str">
        <v>Toalla de Microfibra</v>
      </c>
      <c r="F11" t="str">
        <v>Accesorios</v>
      </c>
      <c r="G11">
        <v>3</v>
      </c>
      <c r="H11">
        <v>12</v>
      </c>
      <c r="I11" t="str">
        <v>Málaga</v>
      </c>
      <c r="J11" t="str">
        <v>Tienda</v>
      </c>
      <c r="K11">
        <v>5</v>
      </c>
      <c r="L11">
        <v>36</v>
      </c>
      <c r="M11">
        <v>15</v>
      </c>
      <c r="N11">
        <v>21</v>
      </c>
      <c r="O11" t="str">
        <v>David Ruiz</v>
      </c>
      <c r="P11" t="str">
        <v>No</v>
      </c>
    </row>
    <row r="12" spans="1:16" x14ac:dyDescent="0.3">
      <c r="C12">
        <v>1030</v>
      </c>
      <c r="D12">
        <v>45422</v>
      </c>
      <c r="E12" t="str">
        <v>Cinturón de Hidratación</v>
      </c>
      <c r="F12" t="str">
        <v>Accesorios</v>
      </c>
      <c r="G12">
        <v>1</v>
      </c>
      <c r="H12">
        <v>22</v>
      </c>
      <c r="I12" t="str">
        <v>Valencia</v>
      </c>
      <c r="J12" t="str">
        <v>Tienda</v>
      </c>
      <c r="K12">
        <v>4</v>
      </c>
      <c r="L12">
        <v>22</v>
      </c>
      <c r="M12">
        <v>10</v>
      </c>
      <c r="N12">
        <v>12</v>
      </c>
      <c r="O12" t="str">
        <v>Marta Fernández</v>
      </c>
      <c r="P12" t="str">
        <v>No</v>
      </c>
    </row>
    <row r="13" spans="1:16" x14ac:dyDescent="0.3">
      <c r="C13">
        <v>1036</v>
      </c>
      <c r="D13">
        <v>45437</v>
      </c>
      <c r="E13" t="str">
        <v>Casco de Esquí</v>
      </c>
      <c r="F13" t="str">
        <v>Accesorios</v>
      </c>
      <c r="G13">
        <v>1</v>
      </c>
      <c r="H13">
        <v>85</v>
      </c>
      <c r="I13" t="str">
        <v>Valencia</v>
      </c>
      <c r="J13" t="str">
        <v>App</v>
      </c>
      <c r="K13">
        <v>4</v>
      </c>
      <c r="L13">
        <v>85</v>
      </c>
      <c r="M13">
        <v>45</v>
      </c>
      <c r="N13">
        <v>40</v>
      </c>
      <c r="O13" t="str">
        <v>Ana García</v>
      </c>
      <c r="P13" t="str">
        <v>No</v>
      </c>
    </row>
    <row r="14" spans="1:16" x14ac:dyDescent="0.3">
      <c r="C14">
        <v>1037</v>
      </c>
      <c r="D14">
        <v>45440</v>
      </c>
      <c r="E14" t="str">
        <v>Gafas de Ventisca</v>
      </c>
      <c r="F14" t="str">
        <v>Accesorios</v>
      </c>
      <c r="G14">
        <v>1</v>
      </c>
      <c r="H14">
        <v>50</v>
      </c>
      <c r="I14" t="str">
        <v>Sevilla</v>
      </c>
      <c r="J14" t="str">
        <v>Web</v>
      </c>
      <c r="K14">
        <v>4</v>
      </c>
      <c r="L14">
        <v>50</v>
      </c>
      <c r="M14">
        <v>25</v>
      </c>
      <c r="N14">
        <v>25</v>
      </c>
      <c r="O14" t="str">
        <v>David Ruiz</v>
      </c>
      <c r="P14" t="str">
        <v>Sí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243D7F-87AB-114F-87B9-64DD39376194}">
          <x14:formula1>
            <xm:f>Datos!$D:$D</xm:f>
          </x14:formula1>
          <xm:sqref>B1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C37F-0F09-496E-99B4-88C98B3DF4C0}">
  <dimension ref="A1:R41"/>
  <sheetViews>
    <sheetView topLeftCell="C1" workbookViewId="0">
      <pane xSplit="2" topLeftCell="E1" activePane="topRight" state="frozen"/>
      <selection activeCell="C1" sqref="C1"/>
      <selection pane="topRight" activeCell="P1" sqref="P1"/>
    </sheetView>
  </sheetViews>
  <sheetFormatPr baseColWidth="10" defaultRowHeight="14.4" x14ac:dyDescent="0.3"/>
  <cols>
    <col min="1" max="1" width="11" hidden="1" customWidth="1"/>
    <col min="2" max="2" width="10.5546875" hidden="1" customWidth="1"/>
    <col min="3" max="3" width="23.21875" bestFit="1" customWidth="1"/>
    <col min="4" max="4" width="11.21875" bestFit="1" customWidth="1"/>
    <col min="5" max="5" width="11.109375" bestFit="1" customWidth="1"/>
    <col min="6" max="6" width="16.21875" hidden="1" customWidth="1"/>
    <col min="7" max="7" width="9.21875" hidden="1" customWidth="1"/>
    <col min="8" max="8" width="7.88671875" hidden="1" customWidth="1"/>
    <col min="9" max="9" width="12.21875" hidden="1" customWidth="1"/>
    <col min="10" max="10" width="10.21875" hidden="1" customWidth="1"/>
    <col min="11" max="11" width="7.88671875" hidden="1" customWidth="1"/>
    <col min="12" max="12" width="11" hidden="1" customWidth="1"/>
    <col min="13" max="13" width="14.77734375" hidden="1" customWidth="1"/>
    <col min="14" max="14" width="12.6640625" bestFit="1" customWidth="1"/>
    <col min="16" max="16" width="11.21875" bestFit="1" customWidth="1"/>
    <col min="17" max="17" width="37.88671875" customWidth="1"/>
    <col min="18" max="18" width="35.8867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tr" cm="1">
        <f t="array" ref="P1:P8">_xlfn.UNIQUE(D:D)</f>
        <v>Categoría</v>
      </c>
      <c r="Q1" t="s">
        <v>78</v>
      </c>
      <c r="R1" t="s">
        <v>77</v>
      </c>
    </row>
    <row r="2" spans="1:18" x14ac:dyDescent="0.3">
      <c r="A2">
        <v>1022</v>
      </c>
      <c r="B2" s="6">
        <v>45399</v>
      </c>
      <c r="C2" t="s">
        <v>58</v>
      </c>
      <c r="D2" t="s">
        <v>19</v>
      </c>
      <c r="E2">
        <v>1</v>
      </c>
      <c r="F2">
        <v>35</v>
      </c>
      <c r="G2" t="s">
        <v>26</v>
      </c>
      <c r="H2" t="s">
        <v>21</v>
      </c>
      <c r="I2">
        <v>4</v>
      </c>
      <c r="J2">
        <v>35</v>
      </c>
      <c r="K2">
        <v>15</v>
      </c>
      <c r="L2">
        <v>20</v>
      </c>
      <c r="M2" t="s">
        <v>32</v>
      </c>
      <c r="N2" t="s">
        <v>23</v>
      </c>
      <c r="P2" t="str">
        <v>Accesorios</v>
      </c>
      <c r="Q2">
        <f>SUMIF(D:D,P2,E:E)</f>
        <v>18</v>
      </c>
      <c r="R2">
        <f>SUMIFS(E:E,D:D,P2,N:N,"No")</f>
        <v>17</v>
      </c>
    </row>
    <row r="3" spans="1:18" x14ac:dyDescent="0.3">
      <c r="A3">
        <v>1008</v>
      </c>
      <c r="B3" s="6">
        <v>45366</v>
      </c>
      <c r="C3" t="s">
        <v>44</v>
      </c>
      <c r="D3" t="s">
        <v>19</v>
      </c>
      <c r="E3">
        <v>3</v>
      </c>
      <c r="F3">
        <v>15</v>
      </c>
      <c r="G3" t="s">
        <v>15</v>
      </c>
      <c r="H3" t="s">
        <v>21</v>
      </c>
      <c r="I3">
        <v>4</v>
      </c>
      <c r="J3">
        <v>45</v>
      </c>
      <c r="K3">
        <v>18</v>
      </c>
      <c r="L3">
        <v>27</v>
      </c>
      <c r="M3" t="s">
        <v>17</v>
      </c>
      <c r="N3" t="s">
        <v>23</v>
      </c>
      <c r="P3" t="str">
        <v>Calzado</v>
      </c>
      <c r="Q3">
        <f t="shared" ref="Q3:Q7" si="0">SUMIF(D:D,P3,E:E)</f>
        <v>3</v>
      </c>
      <c r="R3">
        <f t="shared" ref="R3:R7" si="1">SUMIFS(E:E,D:D,P3,N:N,"No")</f>
        <v>2</v>
      </c>
    </row>
    <row r="4" spans="1:18" x14ac:dyDescent="0.3">
      <c r="A4">
        <v>1007</v>
      </c>
      <c r="B4" s="6">
        <v>45363</v>
      </c>
      <c r="C4" t="s">
        <v>43</v>
      </c>
      <c r="D4" t="s">
        <v>19</v>
      </c>
      <c r="E4">
        <v>1</v>
      </c>
      <c r="F4">
        <v>45</v>
      </c>
      <c r="G4" t="s">
        <v>31</v>
      </c>
      <c r="H4" t="s">
        <v>28</v>
      </c>
      <c r="I4">
        <v>3</v>
      </c>
      <c r="J4">
        <v>45</v>
      </c>
      <c r="K4">
        <v>20</v>
      </c>
      <c r="L4">
        <v>25</v>
      </c>
      <c r="M4" t="s">
        <v>32</v>
      </c>
      <c r="N4" t="s">
        <v>23</v>
      </c>
      <c r="P4" t="str">
        <v>Deportes</v>
      </c>
      <c r="Q4">
        <f t="shared" si="0"/>
        <v>15</v>
      </c>
      <c r="R4">
        <f t="shared" si="1"/>
        <v>15</v>
      </c>
    </row>
    <row r="5" spans="1:18" x14ac:dyDescent="0.3">
      <c r="A5">
        <v>1036</v>
      </c>
      <c r="B5" s="6">
        <v>45437</v>
      </c>
      <c r="C5" t="s">
        <v>72</v>
      </c>
      <c r="D5" t="s">
        <v>19</v>
      </c>
      <c r="E5">
        <v>1</v>
      </c>
      <c r="F5">
        <v>85</v>
      </c>
      <c r="G5" t="s">
        <v>15</v>
      </c>
      <c r="H5" t="s">
        <v>28</v>
      </c>
      <c r="I5">
        <v>4</v>
      </c>
      <c r="J5">
        <v>85</v>
      </c>
      <c r="K5">
        <v>45</v>
      </c>
      <c r="L5">
        <v>40</v>
      </c>
      <c r="M5" t="s">
        <v>22</v>
      </c>
      <c r="N5" t="s">
        <v>23</v>
      </c>
      <c r="P5" t="str">
        <v>Electrónica</v>
      </c>
      <c r="Q5">
        <f t="shared" si="0"/>
        <v>3</v>
      </c>
      <c r="R5">
        <f t="shared" si="1"/>
        <v>1</v>
      </c>
    </row>
    <row r="6" spans="1:18" x14ac:dyDescent="0.3">
      <c r="A6">
        <v>1030</v>
      </c>
      <c r="B6" s="6">
        <v>45422</v>
      </c>
      <c r="C6" t="s">
        <v>66</v>
      </c>
      <c r="D6" t="s">
        <v>19</v>
      </c>
      <c r="E6">
        <v>1</v>
      </c>
      <c r="F6">
        <v>22</v>
      </c>
      <c r="G6" t="s">
        <v>15</v>
      </c>
      <c r="H6" t="s">
        <v>21</v>
      </c>
      <c r="I6">
        <v>4</v>
      </c>
      <c r="J6">
        <v>22</v>
      </c>
      <c r="K6">
        <v>10</v>
      </c>
      <c r="L6">
        <v>12</v>
      </c>
      <c r="M6" t="s">
        <v>29</v>
      </c>
      <c r="N6" t="s">
        <v>23</v>
      </c>
      <c r="P6" t="str">
        <v>Fitness</v>
      </c>
      <c r="Q6">
        <f t="shared" si="0"/>
        <v>15</v>
      </c>
      <c r="R6">
        <f t="shared" si="1"/>
        <v>15</v>
      </c>
    </row>
    <row r="7" spans="1:18" x14ac:dyDescent="0.3">
      <c r="A7">
        <v>1017</v>
      </c>
      <c r="B7" s="6">
        <v>45387</v>
      </c>
      <c r="C7" t="s">
        <v>53</v>
      </c>
      <c r="D7" t="s">
        <v>19</v>
      </c>
      <c r="E7">
        <v>2</v>
      </c>
      <c r="F7">
        <v>18</v>
      </c>
      <c r="G7" t="s">
        <v>31</v>
      </c>
      <c r="H7" t="s">
        <v>21</v>
      </c>
      <c r="I7">
        <v>4</v>
      </c>
      <c r="J7">
        <v>36</v>
      </c>
      <c r="K7">
        <v>16</v>
      </c>
      <c r="L7">
        <v>20</v>
      </c>
      <c r="M7" t="s">
        <v>32</v>
      </c>
      <c r="N7" t="s">
        <v>23</v>
      </c>
      <c r="P7" t="str">
        <v>Ropa</v>
      </c>
      <c r="Q7">
        <f t="shared" si="0"/>
        <v>13</v>
      </c>
      <c r="R7">
        <f t="shared" si="1"/>
        <v>12</v>
      </c>
    </row>
    <row r="8" spans="1:18" x14ac:dyDescent="0.3">
      <c r="A8">
        <v>1001</v>
      </c>
      <c r="B8" s="6">
        <v>45352</v>
      </c>
      <c r="C8" t="s">
        <v>30</v>
      </c>
      <c r="D8" t="s">
        <v>19</v>
      </c>
      <c r="E8">
        <v>1</v>
      </c>
      <c r="F8">
        <v>25.5</v>
      </c>
      <c r="G8" t="s">
        <v>26</v>
      </c>
      <c r="H8" t="s">
        <v>28</v>
      </c>
      <c r="I8">
        <v>4</v>
      </c>
      <c r="J8">
        <v>25.5</v>
      </c>
      <c r="K8">
        <v>10</v>
      </c>
      <c r="L8">
        <v>15.5</v>
      </c>
      <c r="M8" t="s">
        <v>22</v>
      </c>
      <c r="N8" t="s">
        <v>23</v>
      </c>
      <c r="P8">
        <v>0</v>
      </c>
    </row>
    <row r="9" spans="1:18" x14ac:dyDescent="0.3">
      <c r="A9">
        <v>1023</v>
      </c>
      <c r="B9" s="6">
        <v>45402</v>
      </c>
      <c r="C9" t="s">
        <v>59</v>
      </c>
      <c r="D9" t="s">
        <v>19</v>
      </c>
      <c r="E9">
        <v>2</v>
      </c>
      <c r="F9">
        <v>15</v>
      </c>
      <c r="G9" t="s">
        <v>31</v>
      </c>
      <c r="H9" t="s">
        <v>16</v>
      </c>
      <c r="I9">
        <v>4</v>
      </c>
      <c r="J9">
        <v>30</v>
      </c>
      <c r="K9">
        <v>12</v>
      </c>
      <c r="L9">
        <v>18</v>
      </c>
      <c r="M9" t="s">
        <v>17</v>
      </c>
      <c r="N9" t="s">
        <v>23</v>
      </c>
    </row>
    <row r="10" spans="1:18" x14ac:dyDescent="0.3">
      <c r="A10">
        <v>1010</v>
      </c>
      <c r="B10" s="6">
        <v>45371</v>
      </c>
      <c r="C10" t="s">
        <v>46</v>
      </c>
      <c r="D10" t="s">
        <v>19</v>
      </c>
      <c r="E10">
        <v>2</v>
      </c>
      <c r="F10">
        <v>65</v>
      </c>
      <c r="G10" t="s">
        <v>33</v>
      </c>
      <c r="H10" t="s">
        <v>21</v>
      </c>
      <c r="I10">
        <v>4</v>
      </c>
      <c r="J10">
        <v>130</v>
      </c>
      <c r="K10">
        <v>70</v>
      </c>
      <c r="L10">
        <v>60</v>
      </c>
      <c r="M10" t="s">
        <v>29</v>
      </c>
      <c r="N10" t="s">
        <v>23</v>
      </c>
    </row>
    <row r="11" spans="1:18" x14ac:dyDescent="0.3">
      <c r="A11">
        <v>1027</v>
      </c>
      <c r="B11" s="6">
        <v>45414</v>
      </c>
      <c r="C11" t="s">
        <v>63</v>
      </c>
      <c r="D11" t="s">
        <v>19</v>
      </c>
      <c r="E11">
        <v>3</v>
      </c>
      <c r="F11">
        <v>12</v>
      </c>
      <c r="G11" t="s">
        <v>34</v>
      </c>
      <c r="H11" t="s">
        <v>21</v>
      </c>
      <c r="I11">
        <v>5</v>
      </c>
      <c r="J11">
        <v>36</v>
      </c>
      <c r="K11">
        <v>15</v>
      </c>
      <c r="L11">
        <v>21</v>
      </c>
      <c r="M11" t="s">
        <v>32</v>
      </c>
      <c r="N11" t="s">
        <v>23</v>
      </c>
    </row>
    <row r="12" spans="1:18" x14ac:dyDescent="0.3">
      <c r="A12">
        <v>1018</v>
      </c>
      <c r="B12" s="6">
        <v>45390</v>
      </c>
      <c r="C12" t="s">
        <v>54</v>
      </c>
      <c r="D12" t="s">
        <v>24</v>
      </c>
      <c r="E12">
        <v>1</v>
      </c>
      <c r="F12">
        <v>95</v>
      </c>
      <c r="G12" t="s">
        <v>15</v>
      </c>
      <c r="H12" t="s">
        <v>16</v>
      </c>
      <c r="I12">
        <v>4</v>
      </c>
      <c r="J12">
        <v>95</v>
      </c>
      <c r="K12">
        <v>55</v>
      </c>
      <c r="L12">
        <v>40</v>
      </c>
      <c r="M12" t="s">
        <v>17</v>
      </c>
      <c r="N12" t="s">
        <v>23</v>
      </c>
    </row>
    <row r="13" spans="1:18" x14ac:dyDescent="0.3">
      <c r="A13">
        <v>1040</v>
      </c>
      <c r="B13" s="6">
        <v>45448</v>
      </c>
      <c r="C13" t="s">
        <v>76</v>
      </c>
      <c r="D13" t="s">
        <v>24</v>
      </c>
      <c r="E13">
        <v>1</v>
      </c>
      <c r="F13">
        <v>130</v>
      </c>
      <c r="G13" t="s">
        <v>26</v>
      </c>
      <c r="H13" t="s">
        <v>16</v>
      </c>
      <c r="I13">
        <v>5</v>
      </c>
      <c r="J13">
        <v>130</v>
      </c>
      <c r="K13">
        <v>80</v>
      </c>
      <c r="L13">
        <v>50</v>
      </c>
      <c r="M13" t="s">
        <v>29</v>
      </c>
      <c r="N13" t="s">
        <v>23</v>
      </c>
    </row>
    <row r="14" spans="1:18" x14ac:dyDescent="0.3">
      <c r="A14">
        <v>1013</v>
      </c>
      <c r="B14" s="6">
        <v>45378</v>
      </c>
      <c r="C14" t="s">
        <v>49</v>
      </c>
      <c r="D14" t="s">
        <v>39</v>
      </c>
      <c r="E14">
        <v>4</v>
      </c>
      <c r="F14">
        <v>20</v>
      </c>
      <c r="G14" t="s">
        <v>20</v>
      </c>
      <c r="H14" t="s">
        <v>21</v>
      </c>
      <c r="I14">
        <v>4</v>
      </c>
      <c r="J14">
        <v>80</v>
      </c>
      <c r="K14">
        <v>32</v>
      </c>
      <c r="L14">
        <v>48</v>
      </c>
      <c r="M14" t="s">
        <v>17</v>
      </c>
      <c r="N14" t="s">
        <v>23</v>
      </c>
    </row>
    <row r="15" spans="1:18" x14ac:dyDescent="0.3">
      <c r="A15">
        <v>1026</v>
      </c>
      <c r="B15" s="6">
        <v>45410</v>
      </c>
      <c r="C15" t="s">
        <v>62</v>
      </c>
      <c r="D15" t="s">
        <v>39</v>
      </c>
      <c r="E15">
        <v>5</v>
      </c>
      <c r="F15">
        <v>6</v>
      </c>
      <c r="G15" t="s">
        <v>33</v>
      </c>
      <c r="H15" t="s">
        <v>16</v>
      </c>
      <c r="I15">
        <v>4</v>
      </c>
      <c r="J15">
        <v>30</v>
      </c>
      <c r="K15">
        <v>15</v>
      </c>
      <c r="L15">
        <v>15</v>
      </c>
      <c r="M15" t="s">
        <v>22</v>
      </c>
      <c r="N15" t="s">
        <v>23</v>
      </c>
    </row>
    <row r="16" spans="1:18" x14ac:dyDescent="0.3">
      <c r="A16">
        <v>1031</v>
      </c>
      <c r="B16" s="6">
        <v>45424</v>
      </c>
      <c r="C16" t="s">
        <v>67</v>
      </c>
      <c r="D16" t="s">
        <v>39</v>
      </c>
      <c r="E16">
        <v>2</v>
      </c>
      <c r="F16">
        <v>8</v>
      </c>
      <c r="G16" t="s">
        <v>20</v>
      </c>
      <c r="H16" t="s">
        <v>16</v>
      </c>
      <c r="I16">
        <v>3</v>
      </c>
      <c r="J16">
        <v>16</v>
      </c>
      <c r="K16">
        <v>6</v>
      </c>
      <c r="L16">
        <v>10</v>
      </c>
      <c r="M16" t="s">
        <v>22</v>
      </c>
      <c r="N16" t="s">
        <v>23</v>
      </c>
    </row>
    <row r="17" spans="1:14" x14ac:dyDescent="0.3">
      <c r="A17">
        <v>1034</v>
      </c>
      <c r="B17" s="6">
        <v>45432</v>
      </c>
      <c r="C17" t="s">
        <v>70</v>
      </c>
      <c r="D17" t="s">
        <v>39</v>
      </c>
      <c r="E17">
        <v>1</v>
      </c>
      <c r="F17">
        <v>150</v>
      </c>
      <c r="G17" t="s">
        <v>26</v>
      </c>
      <c r="H17" t="s">
        <v>16</v>
      </c>
      <c r="I17">
        <v>4</v>
      </c>
      <c r="J17">
        <v>150</v>
      </c>
      <c r="K17">
        <v>90</v>
      </c>
      <c r="L17">
        <v>60</v>
      </c>
      <c r="M17" t="s">
        <v>25</v>
      </c>
      <c r="N17" t="s">
        <v>23</v>
      </c>
    </row>
    <row r="18" spans="1:14" x14ac:dyDescent="0.3">
      <c r="A18">
        <v>1003</v>
      </c>
      <c r="B18" s="6">
        <v>45354</v>
      </c>
      <c r="C18" t="s">
        <v>38</v>
      </c>
      <c r="D18" t="s">
        <v>39</v>
      </c>
      <c r="E18">
        <v>1</v>
      </c>
      <c r="F18">
        <v>85</v>
      </c>
      <c r="G18" t="s">
        <v>15</v>
      </c>
      <c r="H18" t="s">
        <v>21</v>
      </c>
      <c r="I18">
        <v>4</v>
      </c>
      <c r="J18">
        <v>85</v>
      </c>
      <c r="K18">
        <v>45</v>
      </c>
      <c r="L18">
        <v>40</v>
      </c>
      <c r="M18" t="s">
        <v>17</v>
      </c>
      <c r="N18" t="s">
        <v>23</v>
      </c>
    </row>
    <row r="19" spans="1:14" x14ac:dyDescent="0.3">
      <c r="A19">
        <v>1025</v>
      </c>
      <c r="B19" s="6">
        <v>45407</v>
      </c>
      <c r="C19" t="s">
        <v>61</v>
      </c>
      <c r="D19" t="s">
        <v>39</v>
      </c>
      <c r="E19">
        <v>1</v>
      </c>
      <c r="F19">
        <v>120</v>
      </c>
      <c r="G19" t="s">
        <v>20</v>
      </c>
      <c r="H19" t="s">
        <v>21</v>
      </c>
      <c r="I19">
        <v>5</v>
      </c>
      <c r="J19">
        <v>120</v>
      </c>
      <c r="K19">
        <v>70</v>
      </c>
      <c r="L19">
        <v>50</v>
      </c>
      <c r="M19" t="s">
        <v>29</v>
      </c>
      <c r="N19" t="s">
        <v>23</v>
      </c>
    </row>
    <row r="20" spans="1:14" x14ac:dyDescent="0.3">
      <c r="A20">
        <v>1035</v>
      </c>
      <c r="B20" s="6">
        <v>45434</v>
      </c>
      <c r="C20" t="s">
        <v>71</v>
      </c>
      <c r="D20" t="s">
        <v>39</v>
      </c>
      <c r="E20">
        <v>1</v>
      </c>
      <c r="F20">
        <v>300</v>
      </c>
      <c r="G20" t="s">
        <v>31</v>
      </c>
      <c r="H20" t="s">
        <v>21</v>
      </c>
      <c r="I20">
        <v>5</v>
      </c>
      <c r="J20">
        <v>300</v>
      </c>
      <c r="K20">
        <v>180</v>
      </c>
      <c r="L20">
        <v>120</v>
      </c>
      <c r="M20" t="s">
        <v>29</v>
      </c>
      <c r="N20" t="s">
        <v>23</v>
      </c>
    </row>
    <row r="21" spans="1:14" x14ac:dyDescent="0.3">
      <c r="A21">
        <v>1006</v>
      </c>
      <c r="B21" s="6">
        <v>45361</v>
      </c>
      <c r="C21" t="s">
        <v>42</v>
      </c>
      <c r="D21" t="s">
        <v>27</v>
      </c>
      <c r="E21">
        <v>1</v>
      </c>
      <c r="F21">
        <v>250</v>
      </c>
      <c r="G21" t="s">
        <v>26</v>
      </c>
      <c r="H21" t="s">
        <v>16</v>
      </c>
      <c r="I21">
        <v>5</v>
      </c>
      <c r="J21">
        <v>250</v>
      </c>
      <c r="K21">
        <v>180</v>
      </c>
      <c r="L21">
        <v>70</v>
      </c>
      <c r="M21" t="s">
        <v>22</v>
      </c>
      <c r="N21" t="s">
        <v>23</v>
      </c>
    </row>
    <row r="22" spans="1:14" x14ac:dyDescent="0.3">
      <c r="A22">
        <v>1016</v>
      </c>
      <c r="B22" s="6">
        <v>45384</v>
      </c>
      <c r="C22" t="s">
        <v>52</v>
      </c>
      <c r="D22" t="s">
        <v>37</v>
      </c>
      <c r="E22">
        <v>3</v>
      </c>
      <c r="F22">
        <v>12</v>
      </c>
      <c r="G22" t="s">
        <v>26</v>
      </c>
      <c r="H22" t="s">
        <v>28</v>
      </c>
      <c r="I22">
        <v>5</v>
      </c>
      <c r="J22">
        <v>36</v>
      </c>
      <c r="K22">
        <v>15</v>
      </c>
      <c r="L22">
        <v>21</v>
      </c>
      <c r="M22" t="s">
        <v>22</v>
      </c>
      <c r="N22" t="s">
        <v>23</v>
      </c>
    </row>
    <row r="23" spans="1:14" x14ac:dyDescent="0.3">
      <c r="A23">
        <v>1015</v>
      </c>
      <c r="B23" s="6">
        <v>45381</v>
      </c>
      <c r="C23" t="s">
        <v>51</v>
      </c>
      <c r="D23" t="s">
        <v>37</v>
      </c>
      <c r="E23">
        <v>5</v>
      </c>
      <c r="F23">
        <v>8</v>
      </c>
      <c r="G23" t="s">
        <v>34</v>
      </c>
      <c r="H23" t="s">
        <v>28</v>
      </c>
      <c r="I23">
        <v>5</v>
      </c>
      <c r="J23">
        <v>40</v>
      </c>
      <c r="K23">
        <v>15</v>
      </c>
      <c r="L23">
        <v>25</v>
      </c>
      <c r="M23" t="s">
        <v>29</v>
      </c>
      <c r="N23" t="s">
        <v>23</v>
      </c>
    </row>
    <row r="24" spans="1:14" x14ac:dyDescent="0.3">
      <c r="A24">
        <v>1002</v>
      </c>
      <c r="B24" s="6">
        <v>45353</v>
      </c>
      <c r="C24" t="s">
        <v>36</v>
      </c>
      <c r="D24" t="s">
        <v>37</v>
      </c>
      <c r="E24">
        <v>2</v>
      </c>
      <c r="F24">
        <v>18</v>
      </c>
      <c r="G24" t="s">
        <v>31</v>
      </c>
      <c r="H24" t="s">
        <v>16</v>
      </c>
      <c r="I24">
        <v>5</v>
      </c>
      <c r="J24">
        <v>36</v>
      </c>
      <c r="K24">
        <v>14</v>
      </c>
      <c r="L24">
        <v>22</v>
      </c>
      <c r="M24" t="s">
        <v>32</v>
      </c>
      <c r="N24" t="s">
        <v>23</v>
      </c>
    </row>
    <row r="25" spans="1:14" x14ac:dyDescent="0.3">
      <c r="A25">
        <v>1024</v>
      </c>
      <c r="B25" s="6">
        <v>45404</v>
      </c>
      <c r="C25" t="s">
        <v>60</v>
      </c>
      <c r="D25" t="s">
        <v>37</v>
      </c>
      <c r="E25">
        <v>1</v>
      </c>
      <c r="F25">
        <v>18</v>
      </c>
      <c r="G25" t="s">
        <v>15</v>
      </c>
      <c r="H25" t="s">
        <v>28</v>
      </c>
      <c r="I25">
        <v>3</v>
      </c>
      <c r="J25">
        <v>18</v>
      </c>
      <c r="K25">
        <v>8</v>
      </c>
      <c r="L25">
        <v>10</v>
      </c>
      <c r="M25" t="s">
        <v>25</v>
      </c>
      <c r="N25" t="s">
        <v>23</v>
      </c>
    </row>
    <row r="26" spans="1:14" x14ac:dyDescent="0.3">
      <c r="A26">
        <v>1005</v>
      </c>
      <c r="B26" s="6">
        <v>45358</v>
      </c>
      <c r="C26" t="s">
        <v>41</v>
      </c>
      <c r="D26" t="s">
        <v>37</v>
      </c>
      <c r="E26">
        <v>1</v>
      </c>
      <c r="F26">
        <v>35</v>
      </c>
      <c r="G26" t="s">
        <v>33</v>
      </c>
      <c r="H26" t="s">
        <v>21</v>
      </c>
      <c r="I26">
        <v>4</v>
      </c>
      <c r="J26">
        <v>35</v>
      </c>
      <c r="K26">
        <v>15</v>
      </c>
      <c r="L26">
        <v>20</v>
      </c>
      <c r="M26" t="s">
        <v>29</v>
      </c>
      <c r="N26" t="s">
        <v>23</v>
      </c>
    </row>
    <row r="27" spans="1:14" x14ac:dyDescent="0.3">
      <c r="A27">
        <v>1032</v>
      </c>
      <c r="B27" s="6">
        <v>45427</v>
      </c>
      <c r="C27" t="s">
        <v>68</v>
      </c>
      <c r="D27" t="s">
        <v>37</v>
      </c>
      <c r="E27">
        <v>1</v>
      </c>
      <c r="F27">
        <v>28</v>
      </c>
      <c r="G27" t="s">
        <v>33</v>
      </c>
      <c r="H27" t="s">
        <v>28</v>
      </c>
      <c r="I27">
        <v>4</v>
      </c>
      <c r="J27">
        <v>28</v>
      </c>
      <c r="K27">
        <v>12</v>
      </c>
      <c r="L27">
        <v>16</v>
      </c>
      <c r="M27" t="s">
        <v>32</v>
      </c>
      <c r="N27" t="s">
        <v>23</v>
      </c>
    </row>
    <row r="28" spans="1:14" x14ac:dyDescent="0.3">
      <c r="A28">
        <v>1033</v>
      </c>
      <c r="B28" s="6">
        <v>45430</v>
      </c>
      <c r="C28" t="s">
        <v>69</v>
      </c>
      <c r="D28" t="s">
        <v>37</v>
      </c>
      <c r="E28">
        <v>1</v>
      </c>
      <c r="F28">
        <v>20</v>
      </c>
      <c r="G28" t="s">
        <v>34</v>
      </c>
      <c r="H28" t="s">
        <v>21</v>
      </c>
      <c r="I28">
        <v>5</v>
      </c>
      <c r="J28">
        <v>20</v>
      </c>
      <c r="K28">
        <v>9</v>
      </c>
      <c r="L28">
        <v>11</v>
      </c>
      <c r="M28" t="s">
        <v>17</v>
      </c>
      <c r="N28" t="s">
        <v>23</v>
      </c>
    </row>
    <row r="29" spans="1:14" x14ac:dyDescent="0.3">
      <c r="A29">
        <v>1009</v>
      </c>
      <c r="B29" s="6">
        <v>45369</v>
      </c>
      <c r="C29" t="s">
        <v>45</v>
      </c>
      <c r="D29" t="s">
        <v>37</v>
      </c>
      <c r="E29">
        <v>1</v>
      </c>
      <c r="F29">
        <v>90</v>
      </c>
      <c r="G29" t="s">
        <v>34</v>
      </c>
      <c r="H29" t="s">
        <v>16</v>
      </c>
      <c r="I29">
        <v>5</v>
      </c>
      <c r="J29">
        <v>90</v>
      </c>
      <c r="K29">
        <v>50</v>
      </c>
      <c r="L29">
        <v>40</v>
      </c>
      <c r="M29" t="s">
        <v>25</v>
      </c>
      <c r="N29" t="s">
        <v>23</v>
      </c>
    </row>
    <row r="30" spans="1:14" x14ac:dyDescent="0.3">
      <c r="A30">
        <v>1021</v>
      </c>
      <c r="B30" s="6">
        <v>45397</v>
      </c>
      <c r="C30" t="s">
        <v>57</v>
      </c>
      <c r="D30" t="s">
        <v>14</v>
      </c>
      <c r="E30">
        <v>4</v>
      </c>
      <c r="F30">
        <v>10</v>
      </c>
      <c r="G30" t="s">
        <v>34</v>
      </c>
      <c r="H30" t="s">
        <v>28</v>
      </c>
      <c r="I30">
        <v>5</v>
      </c>
      <c r="J30">
        <v>40</v>
      </c>
      <c r="K30">
        <v>16</v>
      </c>
      <c r="L30">
        <v>24</v>
      </c>
      <c r="M30" t="s">
        <v>22</v>
      </c>
      <c r="N30" t="s">
        <v>23</v>
      </c>
    </row>
    <row r="31" spans="1:14" x14ac:dyDescent="0.3">
      <c r="A31">
        <v>1039</v>
      </c>
      <c r="B31" s="6">
        <v>45445</v>
      </c>
      <c r="C31" t="s">
        <v>75</v>
      </c>
      <c r="D31" t="s">
        <v>14</v>
      </c>
      <c r="E31">
        <v>2</v>
      </c>
      <c r="F31">
        <v>35</v>
      </c>
      <c r="G31" t="s">
        <v>34</v>
      </c>
      <c r="H31" t="s">
        <v>28</v>
      </c>
      <c r="I31">
        <v>4</v>
      </c>
      <c r="J31">
        <v>70</v>
      </c>
      <c r="K31">
        <v>30</v>
      </c>
      <c r="L31">
        <v>40</v>
      </c>
      <c r="M31" t="s">
        <v>25</v>
      </c>
      <c r="N31" t="s">
        <v>23</v>
      </c>
    </row>
    <row r="32" spans="1:14" x14ac:dyDescent="0.3">
      <c r="A32">
        <v>1014</v>
      </c>
      <c r="B32" s="6">
        <v>45380</v>
      </c>
      <c r="C32" t="s">
        <v>50</v>
      </c>
      <c r="D32" t="s">
        <v>14</v>
      </c>
      <c r="E32">
        <v>1</v>
      </c>
      <c r="F32">
        <v>42</v>
      </c>
      <c r="G32" t="s">
        <v>15</v>
      </c>
      <c r="H32" t="s">
        <v>16</v>
      </c>
      <c r="I32">
        <v>4</v>
      </c>
      <c r="J32">
        <v>42</v>
      </c>
      <c r="K32">
        <v>18</v>
      </c>
      <c r="L32">
        <v>24</v>
      </c>
      <c r="M32" t="s">
        <v>25</v>
      </c>
      <c r="N32" t="s">
        <v>23</v>
      </c>
    </row>
    <row r="33" spans="1:14" x14ac:dyDescent="0.3">
      <c r="A33">
        <v>1019</v>
      </c>
      <c r="B33" s="6">
        <v>45392</v>
      </c>
      <c r="C33" t="s">
        <v>55</v>
      </c>
      <c r="D33" t="s">
        <v>14</v>
      </c>
      <c r="E33">
        <v>1</v>
      </c>
      <c r="F33">
        <v>45</v>
      </c>
      <c r="G33" t="s">
        <v>20</v>
      </c>
      <c r="H33" t="s">
        <v>21</v>
      </c>
      <c r="I33">
        <v>5</v>
      </c>
      <c r="J33">
        <v>45</v>
      </c>
      <c r="K33">
        <v>20</v>
      </c>
      <c r="L33">
        <v>25</v>
      </c>
      <c r="M33" t="s">
        <v>25</v>
      </c>
      <c r="N33" t="s">
        <v>23</v>
      </c>
    </row>
    <row r="34" spans="1:14" x14ac:dyDescent="0.3">
      <c r="A34">
        <v>1038</v>
      </c>
      <c r="B34" s="6">
        <v>45442</v>
      </c>
      <c r="C34" t="s">
        <v>74</v>
      </c>
      <c r="D34" t="s">
        <v>14</v>
      </c>
      <c r="E34">
        <v>1</v>
      </c>
      <c r="F34">
        <v>40</v>
      </c>
      <c r="G34" t="s">
        <v>33</v>
      </c>
      <c r="H34" t="s">
        <v>21</v>
      </c>
      <c r="I34">
        <v>5</v>
      </c>
      <c r="J34">
        <v>40</v>
      </c>
      <c r="K34">
        <v>18</v>
      </c>
      <c r="L34">
        <v>22</v>
      </c>
      <c r="M34" t="s">
        <v>17</v>
      </c>
      <c r="N34" t="s">
        <v>23</v>
      </c>
    </row>
    <row r="35" spans="1:14" x14ac:dyDescent="0.3">
      <c r="A35">
        <v>1011</v>
      </c>
      <c r="B35" s="6">
        <v>45373</v>
      </c>
      <c r="C35" t="s">
        <v>47</v>
      </c>
      <c r="D35" t="s">
        <v>14</v>
      </c>
      <c r="E35">
        <v>1</v>
      </c>
      <c r="F35">
        <v>28</v>
      </c>
      <c r="G35" t="s">
        <v>26</v>
      </c>
      <c r="H35" t="s">
        <v>28</v>
      </c>
      <c r="I35">
        <v>5</v>
      </c>
      <c r="J35">
        <v>28</v>
      </c>
      <c r="K35">
        <v>12</v>
      </c>
      <c r="L35">
        <v>30</v>
      </c>
      <c r="M35" t="s">
        <v>22</v>
      </c>
      <c r="N35" t="s">
        <v>23</v>
      </c>
    </row>
    <row r="36" spans="1:14" x14ac:dyDescent="0.3">
      <c r="A36">
        <v>1029</v>
      </c>
      <c r="B36" s="6">
        <v>45420</v>
      </c>
      <c r="C36" t="s">
        <v>65</v>
      </c>
      <c r="D36" t="s">
        <v>14</v>
      </c>
      <c r="E36">
        <v>2</v>
      </c>
      <c r="F36">
        <v>25</v>
      </c>
      <c r="G36" t="s">
        <v>31</v>
      </c>
      <c r="H36" t="s">
        <v>28</v>
      </c>
      <c r="I36">
        <v>5</v>
      </c>
      <c r="J36">
        <v>50</v>
      </c>
      <c r="K36">
        <v>22</v>
      </c>
      <c r="L36">
        <v>28</v>
      </c>
      <c r="M36" t="s">
        <v>25</v>
      </c>
      <c r="N36" t="s">
        <v>23</v>
      </c>
    </row>
    <row r="37" spans="1:14" x14ac:dyDescent="0.3">
      <c r="A37">
        <v>1037</v>
      </c>
      <c r="B37" s="6">
        <v>45440</v>
      </c>
      <c r="C37" t="s">
        <v>73</v>
      </c>
      <c r="D37" t="s">
        <v>19</v>
      </c>
      <c r="E37">
        <v>1</v>
      </c>
      <c r="F37">
        <v>50</v>
      </c>
      <c r="G37" t="s">
        <v>20</v>
      </c>
      <c r="H37" t="s">
        <v>16</v>
      </c>
      <c r="I37">
        <v>4</v>
      </c>
      <c r="J37">
        <v>50</v>
      </c>
      <c r="K37">
        <v>25</v>
      </c>
      <c r="L37">
        <v>25</v>
      </c>
      <c r="M37" t="s">
        <v>32</v>
      </c>
      <c r="N37" t="s">
        <v>18</v>
      </c>
    </row>
    <row r="38" spans="1:14" x14ac:dyDescent="0.3">
      <c r="A38">
        <v>1004</v>
      </c>
      <c r="B38" s="6">
        <v>45356</v>
      </c>
      <c r="C38" t="s">
        <v>40</v>
      </c>
      <c r="D38" t="s">
        <v>24</v>
      </c>
      <c r="E38">
        <v>1</v>
      </c>
      <c r="F38">
        <v>110</v>
      </c>
      <c r="G38" t="s">
        <v>20</v>
      </c>
      <c r="H38" t="s">
        <v>16</v>
      </c>
      <c r="I38">
        <v>5</v>
      </c>
      <c r="J38">
        <v>110</v>
      </c>
      <c r="K38">
        <v>60</v>
      </c>
      <c r="L38">
        <v>50</v>
      </c>
      <c r="M38" t="s">
        <v>25</v>
      </c>
      <c r="N38" t="s">
        <v>18</v>
      </c>
    </row>
    <row r="39" spans="1:14" x14ac:dyDescent="0.3">
      <c r="A39">
        <v>1012</v>
      </c>
      <c r="B39" s="6">
        <v>45376</v>
      </c>
      <c r="C39" t="s">
        <v>48</v>
      </c>
      <c r="D39" t="s">
        <v>27</v>
      </c>
      <c r="E39">
        <v>1</v>
      </c>
      <c r="F39">
        <v>55</v>
      </c>
      <c r="G39" t="s">
        <v>31</v>
      </c>
      <c r="H39" t="s">
        <v>16</v>
      </c>
      <c r="I39">
        <v>2</v>
      </c>
      <c r="J39">
        <v>55</v>
      </c>
      <c r="K39">
        <v>25</v>
      </c>
      <c r="L39">
        <v>30</v>
      </c>
      <c r="M39" t="s">
        <v>32</v>
      </c>
      <c r="N39" t="s">
        <v>18</v>
      </c>
    </row>
    <row r="40" spans="1:14" x14ac:dyDescent="0.3">
      <c r="A40">
        <v>1020</v>
      </c>
      <c r="B40" s="6">
        <v>45394</v>
      </c>
      <c r="C40" t="s">
        <v>56</v>
      </c>
      <c r="D40" t="s">
        <v>27</v>
      </c>
      <c r="E40">
        <v>1</v>
      </c>
      <c r="F40">
        <v>60</v>
      </c>
      <c r="G40" t="s">
        <v>33</v>
      </c>
      <c r="H40" t="s">
        <v>16</v>
      </c>
      <c r="I40">
        <v>3</v>
      </c>
      <c r="J40">
        <v>60</v>
      </c>
      <c r="K40">
        <v>35</v>
      </c>
      <c r="L40">
        <v>25</v>
      </c>
      <c r="M40" t="s">
        <v>29</v>
      </c>
      <c r="N40" t="s">
        <v>18</v>
      </c>
    </row>
    <row r="41" spans="1:14" x14ac:dyDescent="0.3">
      <c r="A41">
        <v>1028</v>
      </c>
      <c r="B41" s="6">
        <v>45417</v>
      </c>
      <c r="C41" t="s">
        <v>64</v>
      </c>
      <c r="D41" t="s">
        <v>14</v>
      </c>
      <c r="E41">
        <v>1</v>
      </c>
      <c r="F41">
        <v>30</v>
      </c>
      <c r="G41" t="s">
        <v>26</v>
      </c>
      <c r="H41" t="s">
        <v>16</v>
      </c>
      <c r="I41">
        <v>4</v>
      </c>
      <c r="J41">
        <v>30</v>
      </c>
      <c r="K41">
        <v>14</v>
      </c>
      <c r="L41">
        <v>16</v>
      </c>
      <c r="M41" t="s">
        <v>17</v>
      </c>
      <c r="N41" t="s">
        <v>18</v>
      </c>
    </row>
  </sheetData>
  <autoFilter ref="P1:R42" xr:uid="{6095C37F-0F09-496E-99B4-88C98B3DF4C0}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BBB2-51E5-4F2E-994D-F8A614ED050F}">
  <dimension ref="A1:B9"/>
  <sheetViews>
    <sheetView workbookViewId="0"/>
  </sheetViews>
  <sheetFormatPr baseColWidth="10" defaultRowHeight="14.4" x14ac:dyDescent="0.3"/>
  <cols>
    <col min="1" max="1" width="19.44140625" customWidth="1"/>
    <col min="2" max="2" width="22.5546875" customWidth="1"/>
  </cols>
  <sheetData>
    <row r="1" spans="1:2" x14ac:dyDescent="0.3">
      <c r="A1" t="s">
        <v>79</v>
      </c>
      <c r="B1" t="s">
        <v>80</v>
      </c>
    </row>
    <row r="2" spans="1:2" x14ac:dyDescent="0.3">
      <c r="A2" t="str" cm="1">
        <f t="array" ref="A2:A9">_xlfn.UNIQUE(Tabla2[Categoría])</f>
        <v>Accesorios</v>
      </c>
      <c r="B2">
        <f>SUMIFS(Tabla2[Unidades],Tabla2[Categoría],producto_estrella2!A2,Tabla2[Devolución],"No")</f>
        <v>17</v>
      </c>
    </row>
    <row r="3" spans="1:2" x14ac:dyDescent="0.3">
      <c r="A3" t="str">
        <v>Fitness</v>
      </c>
      <c r="B3">
        <f>SUMIFS(Tabla2[Unidades],Tabla2[Categoría],producto_estrella2!A3,Tabla2[Devolución],"No")</f>
        <v>15</v>
      </c>
    </row>
    <row r="4" spans="1:2" x14ac:dyDescent="0.3">
      <c r="A4" t="str">
        <v>Deportes</v>
      </c>
      <c r="B4">
        <f>SUMIFS(Tabla2[Unidades],Tabla2[Categoría],producto_estrella2!A4,Tabla2[Devolución],"No")</f>
        <v>15</v>
      </c>
    </row>
    <row r="5" spans="1:2" x14ac:dyDescent="0.3">
      <c r="A5" t="str">
        <v>Calzado</v>
      </c>
      <c r="B5">
        <f>SUMIFS(Tabla2[Unidades],Tabla2[Categoría],producto_estrella2!A5,Tabla2[Devolución],"No")</f>
        <v>2</v>
      </c>
    </row>
    <row r="6" spans="1:2" x14ac:dyDescent="0.3">
      <c r="A6" t="str">
        <v>Electrónica</v>
      </c>
      <c r="B6">
        <f>SUMIFS(Tabla2[Unidades],Tabla2[Categoría],producto_estrella2!A6,Tabla2[Devolución],"No")</f>
        <v>1</v>
      </c>
    </row>
    <row r="7" spans="1:2" x14ac:dyDescent="0.3">
      <c r="A7" t="str">
        <v>Ropa</v>
      </c>
      <c r="B7">
        <f>SUMIFS(Tabla2[Unidades],Tabla2[Categoría],producto_estrella2!A7,Tabla2[Devolución],"No")</f>
        <v>12</v>
      </c>
    </row>
    <row r="8" spans="1:2" x14ac:dyDescent="0.3">
      <c r="A8" t="str">
        <v>Material</v>
      </c>
      <c r="B8">
        <f>SUMIFS(Tabla2[Unidades],Tabla2[Categoría],producto_estrella2!A8,Tabla2[Devolución],"No")</f>
        <v>6</v>
      </c>
    </row>
    <row r="9" spans="1:2" x14ac:dyDescent="0.3">
      <c r="A9" t="str">
        <v>Cositas</v>
      </c>
      <c r="B9">
        <f>SUMIFS(Tabla2[Unidades],Tabla2[Categoría],producto_estrella2!A9,Tabla2[Devolución],"No")</f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C8F5-2B76-4F3D-9C40-BE084BFC57A5}">
  <dimension ref="A1:N41"/>
  <sheetViews>
    <sheetView topLeftCell="C1" workbookViewId="0">
      <selection activeCell="E17" sqref="E17"/>
    </sheetView>
  </sheetViews>
  <sheetFormatPr baseColWidth="10" defaultRowHeight="14.4" x14ac:dyDescent="0.3"/>
  <cols>
    <col min="1" max="1" width="11" hidden="1" customWidth="1"/>
    <col min="2" max="2" width="10.5546875" hidden="1" customWidth="1"/>
    <col min="3" max="3" width="23.21875" bestFit="1" customWidth="1"/>
    <col min="4" max="4" width="11.21875" bestFit="1" customWidth="1"/>
    <col min="5" max="5" width="11.109375" bestFit="1" customWidth="1"/>
    <col min="6" max="6" width="16.21875" bestFit="1" customWidth="1"/>
    <col min="7" max="7" width="9.21875" hidden="1" customWidth="1"/>
    <col min="8" max="8" width="7.88671875" bestFit="1" customWidth="1"/>
    <col min="9" max="9" width="12.21875" hidden="1" customWidth="1"/>
    <col min="10" max="10" width="10.21875" bestFit="1" customWidth="1"/>
    <col min="11" max="11" width="7.88671875" bestFit="1" customWidth="1"/>
    <col min="12" max="12" width="11" bestFit="1" customWidth="1"/>
    <col min="13" max="13" width="14.77734375" hidden="1" customWidth="1"/>
    <col min="14" max="14" width="12.6640625" bestFit="1" customWidth="1"/>
  </cols>
  <sheetData>
    <row r="1" spans="1:14" x14ac:dyDescent="0.3">
      <c r="A1" t="s">
        <v>0</v>
      </c>
      <c r="B1" t="s">
        <v>83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1022</v>
      </c>
      <c r="B2" s="6">
        <v>45399</v>
      </c>
      <c r="C2" t="s">
        <v>58</v>
      </c>
      <c r="D2" t="s">
        <v>19</v>
      </c>
      <c r="E2">
        <v>5</v>
      </c>
      <c r="F2">
        <v>35</v>
      </c>
      <c r="G2" t="s">
        <v>26</v>
      </c>
      <c r="H2" t="s">
        <v>21</v>
      </c>
      <c r="I2">
        <v>4</v>
      </c>
      <c r="J2">
        <v>35</v>
      </c>
      <c r="K2">
        <v>15</v>
      </c>
      <c r="L2">
        <v>20</v>
      </c>
      <c r="M2" t="s">
        <v>32</v>
      </c>
      <c r="N2" t="s">
        <v>23</v>
      </c>
    </row>
    <row r="3" spans="1:14" x14ac:dyDescent="0.3">
      <c r="A3">
        <v>1008</v>
      </c>
      <c r="B3" s="6">
        <v>45366</v>
      </c>
      <c r="C3" t="s">
        <v>44</v>
      </c>
      <c r="D3" t="s">
        <v>19</v>
      </c>
      <c r="E3">
        <v>3</v>
      </c>
      <c r="F3">
        <v>15</v>
      </c>
      <c r="G3" t="s">
        <v>15</v>
      </c>
      <c r="H3" t="s">
        <v>21</v>
      </c>
      <c r="I3">
        <v>4</v>
      </c>
      <c r="J3">
        <v>45</v>
      </c>
      <c r="K3">
        <v>18</v>
      </c>
      <c r="L3">
        <v>27</v>
      </c>
      <c r="M3" t="s">
        <v>17</v>
      </c>
      <c r="N3" t="s">
        <v>23</v>
      </c>
    </row>
    <row r="4" spans="1:14" x14ac:dyDescent="0.3">
      <c r="A4">
        <v>1007</v>
      </c>
      <c r="B4" s="6">
        <v>45363</v>
      </c>
      <c r="C4" t="s">
        <v>43</v>
      </c>
      <c r="D4" t="s">
        <v>19</v>
      </c>
      <c r="E4">
        <v>1</v>
      </c>
      <c r="F4">
        <v>45</v>
      </c>
      <c r="G4" t="s">
        <v>31</v>
      </c>
      <c r="H4" t="s">
        <v>28</v>
      </c>
      <c r="I4">
        <v>3</v>
      </c>
      <c r="J4">
        <v>45</v>
      </c>
      <c r="K4">
        <v>20</v>
      </c>
      <c r="L4">
        <v>25</v>
      </c>
      <c r="M4" t="s">
        <v>32</v>
      </c>
      <c r="N4" t="s">
        <v>23</v>
      </c>
    </row>
    <row r="5" spans="1:14" x14ac:dyDescent="0.3">
      <c r="A5">
        <v>1036</v>
      </c>
      <c r="B5" s="6">
        <v>45437</v>
      </c>
      <c r="C5" t="s">
        <v>72</v>
      </c>
      <c r="D5" t="s">
        <v>19</v>
      </c>
      <c r="E5">
        <v>6</v>
      </c>
      <c r="F5">
        <v>85</v>
      </c>
      <c r="G5" t="s">
        <v>15</v>
      </c>
      <c r="H5" t="s">
        <v>28</v>
      </c>
      <c r="I5">
        <v>4</v>
      </c>
      <c r="J5">
        <v>85</v>
      </c>
      <c r="K5">
        <v>45</v>
      </c>
      <c r="L5">
        <v>40</v>
      </c>
      <c r="M5" t="s">
        <v>22</v>
      </c>
      <c r="N5" t="s">
        <v>23</v>
      </c>
    </row>
    <row r="6" spans="1:14" x14ac:dyDescent="0.3">
      <c r="A6">
        <v>1030</v>
      </c>
      <c r="B6" s="6">
        <v>45422</v>
      </c>
      <c r="C6" t="s">
        <v>66</v>
      </c>
      <c r="D6" t="s">
        <v>19</v>
      </c>
      <c r="E6">
        <v>1</v>
      </c>
      <c r="F6">
        <v>22</v>
      </c>
      <c r="G6" t="s">
        <v>15</v>
      </c>
      <c r="H6" t="s">
        <v>21</v>
      </c>
      <c r="I6">
        <v>4</v>
      </c>
      <c r="J6">
        <v>22</v>
      </c>
      <c r="K6">
        <v>10</v>
      </c>
      <c r="L6">
        <v>12</v>
      </c>
      <c r="M6" t="s">
        <v>29</v>
      </c>
      <c r="N6" t="s">
        <v>23</v>
      </c>
    </row>
    <row r="7" spans="1:14" x14ac:dyDescent="0.3">
      <c r="A7">
        <v>1017</v>
      </c>
      <c r="B7" s="6">
        <v>45387</v>
      </c>
      <c r="C7" t="s">
        <v>53</v>
      </c>
      <c r="D7" t="s">
        <v>19</v>
      </c>
      <c r="E7">
        <v>2</v>
      </c>
      <c r="F7">
        <v>18</v>
      </c>
      <c r="G7" t="s">
        <v>31</v>
      </c>
      <c r="H7" t="s">
        <v>21</v>
      </c>
      <c r="I7">
        <v>4</v>
      </c>
      <c r="J7">
        <v>36</v>
      </c>
      <c r="K7">
        <v>16</v>
      </c>
      <c r="L7">
        <v>20</v>
      </c>
      <c r="M7" t="s">
        <v>32</v>
      </c>
      <c r="N7" t="s">
        <v>23</v>
      </c>
    </row>
    <row r="8" spans="1:14" x14ac:dyDescent="0.3">
      <c r="A8">
        <v>1001</v>
      </c>
      <c r="B8" s="6">
        <v>45352</v>
      </c>
      <c r="C8" t="s">
        <v>30</v>
      </c>
      <c r="D8" t="s">
        <v>19</v>
      </c>
      <c r="E8">
        <v>1</v>
      </c>
      <c r="F8">
        <v>25.5</v>
      </c>
      <c r="G8" t="s">
        <v>26</v>
      </c>
      <c r="H8" t="s">
        <v>28</v>
      </c>
      <c r="I8">
        <v>4</v>
      </c>
      <c r="J8">
        <v>25.5</v>
      </c>
      <c r="K8">
        <v>10</v>
      </c>
      <c r="L8">
        <v>15.5</v>
      </c>
      <c r="M8" t="s">
        <v>22</v>
      </c>
      <c r="N8" t="s">
        <v>23</v>
      </c>
    </row>
    <row r="9" spans="1:14" x14ac:dyDescent="0.3">
      <c r="A9">
        <v>1023</v>
      </c>
      <c r="B9" s="6">
        <v>45402</v>
      </c>
      <c r="C9" t="s">
        <v>59</v>
      </c>
      <c r="D9" t="s">
        <v>19</v>
      </c>
      <c r="E9">
        <v>9</v>
      </c>
      <c r="F9">
        <v>15</v>
      </c>
      <c r="G9" t="s">
        <v>31</v>
      </c>
      <c r="H9" t="s">
        <v>16</v>
      </c>
      <c r="I9">
        <v>4</v>
      </c>
      <c r="J9">
        <v>30</v>
      </c>
      <c r="K9">
        <v>12</v>
      </c>
      <c r="L9">
        <v>18</v>
      </c>
      <c r="M9" t="s">
        <v>17</v>
      </c>
      <c r="N9" t="s">
        <v>23</v>
      </c>
    </row>
    <row r="10" spans="1:14" x14ac:dyDescent="0.3">
      <c r="A10">
        <v>1010</v>
      </c>
      <c r="B10" s="6">
        <v>45371</v>
      </c>
      <c r="C10" t="s">
        <v>46</v>
      </c>
      <c r="D10" t="s">
        <v>19</v>
      </c>
      <c r="E10">
        <v>2</v>
      </c>
      <c r="F10">
        <v>65</v>
      </c>
      <c r="G10" t="s">
        <v>33</v>
      </c>
      <c r="H10" t="s">
        <v>21</v>
      </c>
      <c r="I10">
        <v>4</v>
      </c>
      <c r="J10">
        <v>130</v>
      </c>
      <c r="K10">
        <v>70</v>
      </c>
      <c r="L10">
        <v>60</v>
      </c>
      <c r="M10" t="s">
        <v>29</v>
      </c>
      <c r="N10" t="s">
        <v>23</v>
      </c>
    </row>
    <row r="11" spans="1:14" x14ac:dyDescent="0.3">
      <c r="A11">
        <v>1027</v>
      </c>
      <c r="B11" s="6">
        <v>45414</v>
      </c>
      <c r="C11" t="s">
        <v>63</v>
      </c>
      <c r="D11" t="s">
        <v>19</v>
      </c>
      <c r="E11">
        <v>3</v>
      </c>
      <c r="F11">
        <v>12</v>
      </c>
      <c r="G11" t="s">
        <v>34</v>
      </c>
      <c r="H11" t="s">
        <v>21</v>
      </c>
      <c r="I11">
        <v>5</v>
      </c>
      <c r="J11">
        <v>36</v>
      </c>
      <c r="K11">
        <v>15</v>
      </c>
      <c r="L11">
        <v>21</v>
      </c>
      <c r="M11" t="s">
        <v>32</v>
      </c>
      <c r="N11" t="s">
        <v>23</v>
      </c>
    </row>
    <row r="12" spans="1:14" x14ac:dyDescent="0.3">
      <c r="A12">
        <v>1037</v>
      </c>
      <c r="B12" s="6">
        <v>45440</v>
      </c>
      <c r="C12" t="s">
        <v>73</v>
      </c>
      <c r="D12" t="s">
        <v>19</v>
      </c>
      <c r="E12">
        <v>1</v>
      </c>
      <c r="F12">
        <v>50</v>
      </c>
      <c r="G12" t="s">
        <v>20</v>
      </c>
      <c r="H12" t="s">
        <v>16</v>
      </c>
      <c r="I12">
        <v>4</v>
      </c>
      <c r="J12">
        <v>50</v>
      </c>
      <c r="K12">
        <v>25</v>
      </c>
      <c r="L12">
        <v>25</v>
      </c>
      <c r="M12" t="s">
        <v>32</v>
      </c>
      <c r="N12" t="s">
        <v>18</v>
      </c>
    </row>
    <row r="13" spans="1:14" x14ac:dyDescent="0.3">
      <c r="A13">
        <v>1018</v>
      </c>
      <c r="B13" s="6">
        <v>45390</v>
      </c>
      <c r="C13" t="s">
        <v>54</v>
      </c>
      <c r="D13" t="s">
        <v>24</v>
      </c>
      <c r="E13">
        <v>5</v>
      </c>
      <c r="F13">
        <v>95</v>
      </c>
      <c r="G13" t="s">
        <v>15</v>
      </c>
      <c r="H13" t="s">
        <v>16</v>
      </c>
      <c r="I13">
        <v>4</v>
      </c>
      <c r="J13">
        <v>95</v>
      </c>
      <c r="K13">
        <v>55</v>
      </c>
      <c r="L13">
        <v>40</v>
      </c>
      <c r="M13" t="s">
        <v>17</v>
      </c>
      <c r="N13" t="s">
        <v>23</v>
      </c>
    </row>
    <row r="14" spans="1:14" x14ac:dyDescent="0.3">
      <c r="A14">
        <v>1040</v>
      </c>
      <c r="B14" s="6">
        <v>45448</v>
      </c>
      <c r="C14" t="s">
        <v>76</v>
      </c>
      <c r="D14" t="s">
        <v>24</v>
      </c>
      <c r="E14">
        <v>1</v>
      </c>
      <c r="F14">
        <v>130</v>
      </c>
      <c r="G14" t="s">
        <v>26</v>
      </c>
      <c r="H14" t="s">
        <v>16</v>
      </c>
      <c r="I14">
        <v>5</v>
      </c>
      <c r="J14">
        <v>130</v>
      </c>
      <c r="K14">
        <v>80</v>
      </c>
      <c r="L14">
        <v>50</v>
      </c>
      <c r="M14" t="s">
        <v>29</v>
      </c>
      <c r="N14" t="s">
        <v>23</v>
      </c>
    </row>
    <row r="15" spans="1:14" x14ac:dyDescent="0.3">
      <c r="A15">
        <v>1004</v>
      </c>
      <c r="B15" s="6">
        <v>45356</v>
      </c>
      <c r="C15" t="s">
        <v>40</v>
      </c>
      <c r="D15" t="s">
        <v>24</v>
      </c>
      <c r="E15">
        <v>10</v>
      </c>
      <c r="F15">
        <v>110</v>
      </c>
      <c r="G15" t="s">
        <v>20</v>
      </c>
      <c r="H15" t="s">
        <v>16</v>
      </c>
      <c r="I15">
        <v>5</v>
      </c>
      <c r="J15">
        <v>110</v>
      </c>
      <c r="K15">
        <v>60</v>
      </c>
      <c r="L15">
        <v>50</v>
      </c>
      <c r="M15" t="s">
        <v>25</v>
      </c>
      <c r="N15" t="s">
        <v>18</v>
      </c>
    </row>
    <row r="16" spans="1:14" x14ac:dyDescent="0.3">
      <c r="A16">
        <v>1013</v>
      </c>
      <c r="B16" s="6">
        <v>45378</v>
      </c>
      <c r="C16" t="s">
        <v>49</v>
      </c>
      <c r="D16" t="s">
        <v>39</v>
      </c>
      <c r="E16">
        <v>11</v>
      </c>
      <c r="F16">
        <v>20</v>
      </c>
      <c r="G16" t="s">
        <v>20</v>
      </c>
      <c r="H16" t="s">
        <v>21</v>
      </c>
      <c r="I16">
        <v>4</v>
      </c>
      <c r="J16">
        <v>80</v>
      </c>
      <c r="K16">
        <v>32</v>
      </c>
      <c r="L16">
        <v>48</v>
      </c>
      <c r="M16" t="s">
        <v>17</v>
      </c>
      <c r="N16" t="s">
        <v>23</v>
      </c>
    </row>
    <row r="17" spans="1:14" x14ac:dyDescent="0.3">
      <c r="A17">
        <v>1026</v>
      </c>
      <c r="B17" s="6">
        <v>45410</v>
      </c>
      <c r="C17" t="s">
        <v>62</v>
      </c>
      <c r="D17" t="s">
        <v>39</v>
      </c>
      <c r="E17">
        <v>5</v>
      </c>
      <c r="F17">
        <v>6</v>
      </c>
      <c r="G17" t="s">
        <v>33</v>
      </c>
      <c r="H17" t="s">
        <v>16</v>
      </c>
      <c r="I17">
        <v>4</v>
      </c>
      <c r="J17">
        <v>30</v>
      </c>
      <c r="K17">
        <v>15</v>
      </c>
      <c r="L17">
        <v>15</v>
      </c>
      <c r="M17" t="s">
        <v>22</v>
      </c>
      <c r="N17" t="s">
        <v>23</v>
      </c>
    </row>
    <row r="18" spans="1:14" x14ac:dyDescent="0.3">
      <c r="A18">
        <v>1031</v>
      </c>
      <c r="B18" s="6">
        <v>45424</v>
      </c>
      <c r="C18" t="s">
        <v>67</v>
      </c>
      <c r="D18" t="s">
        <v>39</v>
      </c>
      <c r="E18">
        <v>2</v>
      </c>
      <c r="F18">
        <v>8</v>
      </c>
      <c r="G18" t="s">
        <v>20</v>
      </c>
      <c r="H18" t="s">
        <v>16</v>
      </c>
      <c r="I18">
        <v>3</v>
      </c>
      <c r="J18">
        <v>16</v>
      </c>
      <c r="K18">
        <v>6</v>
      </c>
      <c r="L18">
        <v>10</v>
      </c>
      <c r="M18" t="s">
        <v>22</v>
      </c>
      <c r="N18" t="s">
        <v>23</v>
      </c>
    </row>
    <row r="19" spans="1:14" x14ac:dyDescent="0.3">
      <c r="A19">
        <v>1034</v>
      </c>
      <c r="B19" s="6">
        <v>45432</v>
      </c>
      <c r="C19" t="s">
        <v>70</v>
      </c>
      <c r="D19" t="s">
        <v>39</v>
      </c>
      <c r="E19">
        <v>1</v>
      </c>
      <c r="F19">
        <v>150</v>
      </c>
      <c r="G19" t="s">
        <v>26</v>
      </c>
      <c r="H19" t="s">
        <v>16</v>
      </c>
      <c r="I19">
        <v>4</v>
      </c>
      <c r="J19">
        <v>150</v>
      </c>
      <c r="K19">
        <v>90</v>
      </c>
      <c r="L19">
        <v>60</v>
      </c>
      <c r="M19" t="s">
        <v>25</v>
      </c>
      <c r="N19" t="s">
        <v>23</v>
      </c>
    </row>
    <row r="20" spans="1:14" x14ac:dyDescent="0.3">
      <c r="A20">
        <v>1003</v>
      </c>
      <c r="B20" s="6">
        <v>45354</v>
      </c>
      <c r="C20" t="s">
        <v>38</v>
      </c>
      <c r="D20" t="s">
        <v>39</v>
      </c>
      <c r="E20">
        <v>7</v>
      </c>
      <c r="F20">
        <v>85</v>
      </c>
      <c r="G20" t="s">
        <v>15</v>
      </c>
      <c r="H20" t="s">
        <v>21</v>
      </c>
      <c r="I20">
        <v>4</v>
      </c>
      <c r="J20">
        <v>85</v>
      </c>
      <c r="K20">
        <v>45</v>
      </c>
      <c r="L20">
        <v>40</v>
      </c>
      <c r="M20" t="s">
        <v>17</v>
      </c>
      <c r="N20" t="s">
        <v>23</v>
      </c>
    </row>
    <row r="21" spans="1:14" x14ac:dyDescent="0.3">
      <c r="A21">
        <v>1025</v>
      </c>
      <c r="B21" s="6">
        <v>45407</v>
      </c>
      <c r="C21" t="s">
        <v>61</v>
      </c>
      <c r="D21" t="s">
        <v>39</v>
      </c>
      <c r="E21">
        <v>8</v>
      </c>
      <c r="F21">
        <v>120</v>
      </c>
      <c r="G21" t="s">
        <v>20</v>
      </c>
      <c r="H21" t="s">
        <v>21</v>
      </c>
      <c r="I21">
        <v>5</v>
      </c>
      <c r="J21">
        <v>120</v>
      </c>
      <c r="K21">
        <v>70</v>
      </c>
      <c r="L21">
        <v>50</v>
      </c>
      <c r="M21" t="s">
        <v>29</v>
      </c>
      <c r="N21" t="s">
        <v>23</v>
      </c>
    </row>
    <row r="22" spans="1:14" x14ac:dyDescent="0.3">
      <c r="A22">
        <v>1035</v>
      </c>
      <c r="B22" s="6">
        <v>45434</v>
      </c>
      <c r="C22" t="s">
        <v>71</v>
      </c>
      <c r="D22" t="s">
        <v>39</v>
      </c>
      <c r="E22">
        <v>1</v>
      </c>
      <c r="F22">
        <v>300</v>
      </c>
      <c r="G22" t="s">
        <v>31</v>
      </c>
      <c r="H22" t="s">
        <v>21</v>
      </c>
      <c r="I22">
        <v>5</v>
      </c>
      <c r="J22">
        <v>300</v>
      </c>
      <c r="K22">
        <v>180</v>
      </c>
      <c r="L22">
        <v>120</v>
      </c>
      <c r="M22" t="s">
        <v>29</v>
      </c>
      <c r="N22" t="s">
        <v>23</v>
      </c>
    </row>
    <row r="23" spans="1:14" x14ac:dyDescent="0.3">
      <c r="A23">
        <v>1006</v>
      </c>
      <c r="B23" s="6">
        <v>45361</v>
      </c>
      <c r="C23" t="s">
        <v>42</v>
      </c>
      <c r="D23" t="s">
        <v>27</v>
      </c>
      <c r="E23">
        <v>5</v>
      </c>
      <c r="F23">
        <v>250</v>
      </c>
      <c r="G23" t="s">
        <v>26</v>
      </c>
      <c r="H23" t="s">
        <v>16</v>
      </c>
      <c r="I23">
        <v>5</v>
      </c>
      <c r="J23">
        <v>250</v>
      </c>
      <c r="K23">
        <v>180</v>
      </c>
      <c r="L23">
        <v>70</v>
      </c>
      <c r="M23" t="s">
        <v>22</v>
      </c>
      <c r="N23" t="s">
        <v>23</v>
      </c>
    </row>
    <row r="24" spans="1:14" x14ac:dyDescent="0.3">
      <c r="A24">
        <v>1012</v>
      </c>
      <c r="B24" s="6">
        <v>45376</v>
      </c>
      <c r="C24" t="s">
        <v>48</v>
      </c>
      <c r="D24" t="s">
        <v>27</v>
      </c>
      <c r="E24">
        <v>2</v>
      </c>
      <c r="F24">
        <v>55</v>
      </c>
      <c r="G24" t="s">
        <v>31</v>
      </c>
      <c r="H24" t="s">
        <v>16</v>
      </c>
      <c r="I24">
        <v>2</v>
      </c>
      <c r="J24">
        <v>55</v>
      </c>
      <c r="K24">
        <v>25</v>
      </c>
      <c r="L24">
        <v>30</v>
      </c>
      <c r="M24" t="s">
        <v>32</v>
      </c>
      <c r="N24" t="s">
        <v>18</v>
      </c>
    </row>
    <row r="25" spans="1:14" x14ac:dyDescent="0.3">
      <c r="A25">
        <v>1020</v>
      </c>
      <c r="B25" s="6">
        <v>45394</v>
      </c>
      <c r="C25" t="s">
        <v>56</v>
      </c>
      <c r="D25" t="s">
        <v>27</v>
      </c>
      <c r="E25">
        <v>1</v>
      </c>
      <c r="F25">
        <v>60</v>
      </c>
      <c r="G25" t="s">
        <v>33</v>
      </c>
      <c r="H25" t="s">
        <v>16</v>
      </c>
      <c r="I25">
        <v>3</v>
      </c>
      <c r="J25">
        <v>60</v>
      </c>
      <c r="K25">
        <v>35</v>
      </c>
      <c r="L25">
        <v>25</v>
      </c>
      <c r="M25" t="s">
        <v>29</v>
      </c>
      <c r="N25" t="s">
        <v>18</v>
      </c>
    </row>
    <row r="26" spans="1:14" x14ac:dyDescent="0.3">
      <c r="A26">
        <v>1016</v>
      </c>
      <c r="B26" s="6">
        <v>45384</v>
      </c>
      <c r="C26" t="s">
        <v>52</v>
      </c>
      <c r="D26" t="s">
        <v>37</v>
      </c>
      <c r="E26">
        <v>3</v>
      </c>
      <c r="F26">
        <v>12</v>
      </c>
      <c r="G26" t="s">
        <v>26</v>
      </c>
      <c r="H26" t="s">
        <v>28</v>
      </c>
      <c r="I26">
        <v>5</v>
      </c>
      <c r="J26">
        <v>36</v>
      </c>
      <c r="K26">
        <v>15</v>
      </c>
      <c r="L26">
        <v>21</v>
      </c>
      <c r="M26" t="s">
        <v>22</v>
      </c>
      <c r="N26" t="s">
        <v>23</v>
      </c>
    </row>
    <row r="27" spans="1:14" x14ac:dyDescent="0.3">
      <c r="A27">
        <v>1015</v>
      </c>
      <c r="B27" s="6">
        <v>45381</v>
      </c>
      <c r="C27" t="s">
        <v>51</v>
      </c>
      <c r="D27" t="s">
        <v>37</v>
      </c>
      <c r="E27">
        <v>5</v>
      </c>
      <c r="F27">
        <v>8</v>
      </c>
      <c r="G27" t="s">
        <v>34</v>
      </c>
      <c r="H27" t="s">
        <v>28</v>
      </c>
      <c r="I27">
        <v>5</v>
      </c>
      <c r="J27">
        <v>40</v>
      </c>
      <c r="K27">
        <v>15</v>
      </c>
      <c r="L27">
        <v>25</v>
      </c>
      <c r="M27" t="s">
        <v>29</v>
      </c>
      <c r="N27" t="s">
        <v>23</v>
      </c>
    </row>
    <row r="28" spans="1:14" x14ac:dyDescent="0.3">
      <c r="A28">
        <v>1002</v>
      </c>
      <c r="B28" s="6">
        <v>45353</v>
      </c>
      <c r="C28" t="s">
        <v>36</v>
      </c>
      <c r="D28" t="s">
        <v>37</v>
      </c>
      <c r="E28">
        <v>20</v>
      </c>
      <c r="F28">
        <v>18</v>
      </c>
      <c r="G28" t="s">
        <v>31</v>
      </c>
      <c r="H28" t="s">
        <v>16</v>
      </c>
      <c r="I28">
        <v>5</v>
      </c>
      <c r="J28">
        <v>36</v>
      </c>
      <c r="K28">
        <v>14</v>
      </c>
      <c r="L28">
        <v>22</v>
      </c>
      <c r="M28" t="s">
        <v>32</v>
      </c>
      <c r="N28" t="s">
        <v>23</v>
      </c>
    </row>
    <row r="29" spans="1:14" x14ac:dyDescent="0.3">
      <c r="A29">
        <v>1024</v>
      </c>
      <c r="B29" s="6">
        <v>45404</v>
      </c>
      <c r="C29" t="s">
        <v>60</v>
      </c>
      <c r="D29" t="s">
        <v>37</v>
      </c>
      <c r="E29">
        <v>1</v>
      </c>
      <c r="F29">
        <v>18</v>
      </c>
      <c r="G29" t="s">
        <v>15</v>
      </c>
      <c r="H29" t="s">
        <v>28</v>
      </c>
      <c r="I29">
        <v>3</v>
      </c>
      <c r="J29">
        <v>18</v>
      </c>
      <c r="K29">
        <v>8</v>
      </c>
      <c r="L29">
        <v>10</v>
      </c>
      <c r="M29" t="s">
        <v>25</v>
      </c>
      <c r="N29" t="s">
        <v>23</v>
      </c>
    </row>
    <row r="30" spans="1:14" x14ac:dyDescent="0.3">
      <c r="A30">
        <v>1005</v>
      </c>
      <c r="B30" s="6">
        <v>45358</v>
      </c>
      <c r="C30" t="s">
        <v>41</v>
      </c>
      <c r="D30" t="s">
        <v>37</v>
      </c>
      <c r="E30">
        <v>5</v>
      </c>
      <c r="F30">
        <v>35</v>
      </c>
      <c r="G30" t="s">
        <v>33</v>
      </c>
      <c r="H30" t="s">
        <v>21</v>
      </c>
      <c r="I30">
        <v>4</v>
      </c>
      <c r="J30">
        <v>35</v>
      </c>
      <c r="K30">
        <v>15</v>
      </c>
      <c r="L30">
        <v>20</v>
      </c>
      <c r="M30" t="s">
        <v>29</v>
      </c>
      <c r="N30" t="s">
        <v>23</v>
      </c>
    </row>
    <row r="31" spans="1:14" x14ac:dyDescent="0.3">
      <c r="A31">
        <v>1032</v>
      </c>
      <c r="B31" s="6">
        <v>45427</v>
      </c>
      <c r="C31" t="s">
        <v>68</v>
      </c>
      <c r="D31" t="s">
        <v>37</v>
      </c>
      <c r="E31">
        <v>2</v>
      </c>
      <c r="F31">
        <v>28</v>
      </c>
      <c r="G31" t="s">
        <v>33</v>
      </c>
      <c r="H31" t="s">
        <v>28</v>
      </c>
      <c r="I31">
        <v>4</v>
      </c>
      <c r="J31">
        <v>28</v>
      </c>
      <c r="K31">
        <v>12</v>
      </c>
      <c r="L31">
        <v>16</v>
      </c>
      <c r="M31" t="s">
        <v>32</v>
      </c>
      <c r="N31" t="s">
        <v>23</v>
      </c>
    </row>
    <row r="32" spans="1:14" x14ac:dyDescent="0.3">
      <c r="A32">
        <v>1033</v>
      </c>
      <c r="B32" s="6">
        <v>45430</v>
      </c>
      <c r="C32" t="s">
        <v>69</v>
      </c>
      <c r="D32" t="s">
        <v>37</v>
      </c>
      <c r="E32">
        <v>20</v>
      </c>
      <c r="F32">
        <v>20</v>
      </c>
      <c r="G32" t="s">
        <v>34</v>
      </c>
      <c r="H32" t="s">
        <v>21</v>
      </c>
      <c r="I32">
        <v>5</v>
      </c>
      <c r="J32">
        <v>20</v>
      </c>
      <c r="K32">
        <v>9</v>
      </c>
      <c r="L32">
        <v>11</v>
      </c>
      <c r="M32" t="s">
        <v>17</v>
      </c>
      <c r="N32" t="s">
        <v>23</v>
      </c>
    </row>
    <row r="33" spans="1:14" x14ac:dyDescent="0.3">
      <c r="A33">
        <v>1009</v>
      </c>
      <c r="B33" s="6">
        <v>45369</v>
      </c>
      <c r="C33" t="s">
        <v>45</v>
      </c>
      <c r="D33" t="s">
        <v>37</v>
      </c>
      <c r="E33">
        <v>8</v>
      </c>
      <c r="F33">
        <v>90</v>
      </c>
      <c r="G33" t="s">
        <v>34</v>
      </c>
      <c r="H33" t="s">
        <v>16</v>
      </c>
      <c r="I33">
        <v>5</v>
      </c>
      <c r="J33">
        <v>90</v>
      </c>
      <c r="K33">
        <v>50</v>
      </c>
      <c r="L33">
        <v>40</v>
      </c>
      <c r="M33" t="s">
        <v>25</v>
      </c>
      <c r="N33" t="s">
        <v>23</v>
      </c>
    </row>
    <row r="34" spans="1:14" x14ac:dyDescent="0.3">
      <c r="A34">
        <v>1021</v>
      </c>
      <c r="B34" s="6">
        <v>45397</v>
      </c>
      <c r="C34" t="s">
        <v>57</v>
      </c>
      <c r="D34" t="s">
        <v>14</v>
      </c>
      <c r="E34">
        <v>30</v>
      </c>
      <c r="F34">
        <v>10</v>
      </c>
      <c r="G34" t="s">
        <v>34</v>
      </c>
      <c r="H34" t="s">
        <v>28</v>
      </c>
      <c r="I34">
        <v>5</v>
      </c>
      <c r="J34">
        <v>40</v>
      </c>
      <c r="K34">
        <v>16</v>
      </c>
      <c r="L34">
        <v>24</v>
      </c>
      <c r="M34" t="s">
        <v>22</v>
      </c>
      <c r="N34" t="s">
        <v>23</v>
      </c>
    </row>
    <row r="35" spans="1:14" x14ac:dyDescent="0.3">
      <c r="A35">
        <v>1039</v>
      </c>
      <c r="B35" s="6">
        <v>45445</v>
      </c>
      <c r="C35" t="s">
        <v>75</v>
      </c>
      <c r="D35" t="s">
        <v>14</v>
      </c>
      <c r="E35">
        <v>25</v>
      </c>
      <c r="F35">
        <v>35</v>
      </c>
      <c r="G35" t="s">
        <v>34</v>
      </c>
      <c r="H35" t="s">
        <v>28</v>
      </c>
      <c r="I35">
        <v>4</v>
      </c>
      <c r="J35">
        <v>70</v>
      </c>
      <c r="K35">
        <v>30</v>
      </c>
      <c r="L35">
        <v>40</v>
      </c>
      <c r="M35" t="s">
        <v>25</v>
      </c>
      <c r="N35" t="s">
        <v>23</v>
      </c>
    </row>
    <row r="36" spans="1:14" x14ac:dyDescent="0.3">
      <c r="A36">
        <v>1014</v>
      </c>
      <c r="B36" s="6">
        <v>45380</v>
      </c>
      <c r="C36" t="s">
        <v>50</v>
      </c>
      <c r="D36" t="s">
        <v>14</v>
      </c>
      <c r="E36">
        <v>1</v>
      </c>
      <c r="F36">
        <v>42</v>
      </c>
      <c r="G36" t="s">
        <v>15</v>
      </c>
      <c r="H36" t="s">
        <v>16</v>
      </c>
      <c r="I36">
        <v>4</v>
      </c>
      <c r="J36">
        <v>42</v>
      </c>
      <c r="K36">
        <v>18</v>
      </c>
      <c r="L36">
        <v>24</v>
      </c>
      <c r="M36" t="s">
        <v>25</v>
      </c>
      <c r="N36" t="s">
        <v>23</v>
      </c>
    </row>
    <row r="37" spans="1:14" x14ac:dyDescent="0.3">
      <c r="A37">
        <v>1019</v>
      </c>
      <c r="B37" s="6">
        <v>45392</v>
      </c>
      <c r="C37" t="s">
        <v>55</v>
      </c>
      <c r="D37" t="s">
        <v>14</v>
      </c>
      <c r="E37">
        <v>5</v>
      </c>
      <c r="F37">
        <v>45</v>
      </c>
      <c r="G37" t="s">
        <v>20</v>
      </c>
      <c r="H37" t="s">
        <v>21</v>
      </c>
      <c r="I37">
        <v>5</v>
      </c>
      <c r="J37">
        <v>45</v>
      </c>
      <c r="K37">
        <v>20</v>
      </c>
      <c r="L37">
        <v>25</v>
      </c>
      <c r="M37" t="s">
        <v>25</v>
      </c>
      <c r="N37" t="s">
        <v>23</v>
      </c>
    </row>
    <row r="38" spans="1:14" x14ac:dyDescent="0.3">
      <c r="A38">
        <v>1038</v>
      </c>
      <c r="B38" s="6">
        <v>45442</v>
      </c>
      <c r="C38" t="s">
        <v>74</v>
      </c>
      <c r="D38" t="s">
        <v>14</v>
      </c>
      <c r="E38">
        <v>3</v>
      </c>
      <c r="F38">
        <v>40</v>
      </c>
      <c r="G38" t="s">
        <v>33</v>
      </c>
      <c r="H38" t="s">
        <v>21</v>
      </c>
      <c r="I38">
        <v>5</v>
      </c>
      <c r="J38">
        <v>40</v>
      </c>
      <c r="K38">
        <v>18</v>
      </c>
      <c r="L38">
        <v>22</v>
      </c>
      <c r="M38" t="s">
        <v>17</v>
      </c>
      <c r="N38" t="s">
        <v>23</v>
      </c>
    </row>
    <row r="39" spans="1:14" x14ac:dyDescent="0.3">
      <c r="A39">
        <v>1011</v>
      </c>
      <c r="B39" s="6">
        <v>45373</v>
      </c>
      <c r="C39" t="s">
        <v>47</v>
      </c>
      <c r="D39" t="s">
        <v>14</v>
      </c>
      <c r="E39">
        <v>2</v>
      </c>
      <c r="F39">
        <v>28</v>
      </c>
      <c r="G39" t="s">
        <v>26</v>
      </c>
      <c r="H39" t="s">
        <v>28</v>
      </c>
      <c r="I39">
        <v>5</v>
      </c>
      <c r="J39">
        <v>28</v>
      </c>
      <c r="K39">
        <v>12</v>
      </c>
      <c r="L39">
        <v>30</v>
      </c>
      <c r="M39" t="s">
        <v>22</v>
      </c>
      <c r="N39" t="s">
        <v>23</v>
      </c>
    </row>
    <row r="40" spans="1:14" x14ac:dyDescent="0.3">
      <c r="A40">
        <v>1029</v>
      </c>
      <c r="B40" s="6">
        <v>45420</v>
      </c>
      <c r="C40" t="s">
        <v>65</v>
      </c>
      <c r="D40" t="s">
        <v>14</v>
      </c>
      <c r="E40">
        <v>10</v>
      </c>
      <c r="F40">
        <v>25</v>
      </c>
      <c r="G40" t="s">
        <v>31</v>
      </c>
      <c r="H40" t="s">
        <v>28</v>
      </c>
      <c r="I40">
        <v>5</v>
      </c>
      <c r="J40">
        <v>50</v>
      </c>
      <c r="K40">
        <v>22</v>
      </c>
      <c r="L40">
        <v>28</v>
      </c>
      <c r="M40" t="s">
        <v>25</v>
      </c>
      <c r="N40" t="s">
        <v>23</v>
      </c>
    </row>
    <row r="41" spans="1:14" x14ac:dyDescent="0.3">
      <c r="A41">
        <v>1028</v>
      </c>
      <c r="B41" s="6">
        <v>45417</v>
      </c>
      <c r="C41" t="s">
        <v>64</v>
      </c>
      <c r="D41" t="s">
        <v>14</v>
      </c>
      <c r="E41">
        <v>40</v>
      </c>
      <c r="F41">
        <v>30</v>
      </c>
      <c r="G41" t="s">
        <v>26</v>
      </c>
      <c r="H41" t="s">
        <v>16</v>
      </c>
      <c r="I41">
        <v>4</v>
      </c>
      <c r="J41">
        <v>30</v>
      </c>
      <c r="K41">
        <v>14</v>
      </c>
      <c r="L41">
        <v>16</v>
      </c>
      <c r="M41" t="s">
        <v>17</v>
      </c>
      <c r="N41" t="s">
        <v>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3CB37-D46A-4E84-9A2A-F7EEBA5C3E21}">
  <dimension ref="A1:L13"/>
  <sheetViews>
    <sheetView tabSelected="1" zoomScale="90" zoomScaleNormal="90" workbookViewId="0">
      <selection activeCell="N16" sqref="N16"/>
    </sheetView>
  </sheetViews>
  <sheetFormatPr baseColWidth="10" defaultRowHeight="14.4" x14ac:dyDescent="0.3"/>
  <cols>
    <col min="1" max="1" width="40" customWidth="1"/>
    <col min="2" max="2" width="32.109375" customWidth="1"/>
    <col min="3" max="3" width="30.88671875" customWidth="1"/>
    <col min="4" max="4" width="30.5546875" customWidth="1"/>
    <col min="5" max="5" width="31" customWidth="1"/>
    <col min="6" max="6" width="30.88671875" customWidth="1"/>
    <col min="7" max="7" width="27.77734375" customWidth="1"/>
    <col min="8" max="8" width="26.33203125" customWidth="1"/>
    <col min="9" max="9" width="40.88671875" customWidth="1"/>
    <col min="10" max="10" width="35.6640625" customWidth="1"/>
    <col min="11" max="11" width="36" customWidth="1"/>
    <col min="12" max="12" width="28.6640625" customWidth="1"/>
  </cols>
  <sheetData>
    <row r="1" spans="1:12" x14ac:dyDescent="0.3">
      <c r="A1" s="11" t="s">
        <v>19</v>
      </c>
      <c r="B1" s="11"/>
      <c r="C1" s="12" t="s">
        <v>24</v>
      </c>
      <c r="D1" s="12"/>
      <c r="E1" s="13" t="s">
        <v>39</v>
      </c>
      <c r="F1" s="13"/>
      <c r="G1" s="14" t="s">
        <v>27</v>
      </c>
      <c r="H1" s="14"/>
      <c r="I1" s="15" t="s">
        <v>37</v>
      </c>
      <c r="J1" s="15"/>
      <c r="K1" s="16" t="s">
        <v>14</v>
      </c>
      <c r="L1" s="16"/>
    </row>
    <row r="2" spans="1:12" x14ac:dyDescent="0.3">
      <c r="A2" s="10" t="s">
        <v>2</v>
      </c>
      <c r="B2" s="9" t="s">
        <v>84</v>
      </c>
      <c r="C2" s="10" t="s">
        <v>2</v>
      </c>
      <c r="D2" s="9" t="s">
        <v>84</v>
      </c>
      <c r="E2" s="10" t="s">
        <v>2</v>
      </c>
      <c r="F2" s="9" t="s">
        <v>84</v>
      </c>
      <c r="G2" s="10" t="s">
        <v>2</v>
      </c>
      <c r="H2" s="9" t="s">
        <v>84</v>
      </c>
      <c r="I2" s="10" t="s">
        <v>2</v>
      </c>
      <c r="J2" s="9" t="s">
        <v>84</v>
      </c>
      <c r="K2" s="10" t="s">
        <v>2</v>
      </c>
      <c r="L2" s="9" t="s">
        <v>84</v>
      </c>
    </row>
    <row r="3" spans="1:12" x14ac:dyDescent="0.3">
      <c r="A3" t="str" cm="1">
        <f t="array" ref="A3:B13">_xlfn.CHOOSECOLS(_xlfn._xlws.FILTER(Datos1[[Producto]:[Unidades]],Datos1[Categoría]=Hoja1!A1),1,3)</f>
        <v>Bolsa de Deporte</v>
      </c>
      <c r="B3">
        <v>5</v>
      </c>
      <c r="C3" t="str" cm="1">
        <f t="array" ref="C3:D5">_xlfn.CHOOSECOLS(_xlfn._xlws.FILTER(Datos1[[Producto]:[Unidades]],Datos1[Categoría]=Hoja1!C1),1,3)</f>
        <v>Zapatillas de Trekking</v>
      </c>
      <c r="D3">
        <v>5</v>
      </c>
      <c r="E3" t="str" cm="1">
        <f t="array" ref="E3:F9">_xlfn.CHOOSECOLS(_xlfn._xlws.FILTER(Datos1[[Producto]:[Unidades]],Datos1[Categoría]=Hoja1!E1),1,3)</f>
        <v>Balón de Fútbol</v>
      </c>
      <c r="F3">
        <v>11</v>
      </c>
      <c r="G3" t="str" cm="1">
        <f t="array" ref="G3:H5">_xlfn.CHOOSECOLS(_xlfn._xlws.FILTER(Datos1[[Producto]:[Unidades]],Datos1[Categoría]=Hoja1!G1),1,3)</f>
        <v>Reloj GPS Garmin</v>
      </c>
      <c r="H3">
        <v>5</v>
      </c>
      <c r="I3" t="str" cm="1">
        <f t="array" ref="I3:J10">_xlfn.CHOOSECOLS(_xlfn._xlws.FILTER(Datos1[[Producto]:[Unidades]],Datos1[Categoría]=Hoja1!I1),1,3)</f>
        <v>Banda Elástica Resistencia</v>
      </c>
      <c r="J3">
        <v>3</v>
      </c>
      <c r="K3" t="str" cm="1">
        <f t="array" ref="K3:L10">_xlfn.CHOOSECOLS(_xlfn._xlws.FILTER(Datos1[[Producto]:[Unidades]],Datos1[Categoría]=Hoja1!K1),1,3)</f>
        <v>Calcetines Running (Pack 3)</v>
      </c>
      <c r="L3">
        <v>30</v>
      </c>
    </row>
    <row r="4" spans="1:12" x14ac:dyDescent="0.3">
      <c r="A4" t="str">
        <v>Botella Térmica 1L</v>
      </c>
      <c r="B4">
        <v>3</v>
      </c>
      <c r="C4" t="str">
        <v>Zapatillas Halterofilia</v>
      </c>
      <c r="D4">
        <v>1</v>
      </c>
      <c r="E4" t="str">
        <v>Bote Pelotas Pádel (Pack 3)</v>
      </c>
      <c r="F4">
        <v>5</v>
      </c>
      <c r="G4" t="str">
        <v>Auriculares Inalámbricos</v>
      </c>
      <c r="H4">
        <v>2</v>
      </c>
      <c r="I4" t="str">
        <v>Cuerda de Saltar</v>
      </c>
      <c r="J4">
        <v>5</v>
      </c>
      <c r="K4" t="str">
        <v>Camiseta Térmica</v>
      </c>
      <c r="L4">
        <v>25</v>
      </c>
    </row>
    <row r="5" spans="1:12" x14ac:dyDescent="0.3">
      <c r="A5" t="str">
        <v>Casco de Ciclismo</v>
      </c>
      <c r="B5">
        <v>1</v>
      </c>
      <c r="C5" t="str">
        <v>Zapatillas de Running</v>
      </c>
      <c r="D5">
        <v>10</v>
      </c>
      <c r="E5" t="str">
        <v>Muñequeras de Pádel</v>
      </c>
      <c r="F5">
        <v>2</v>
      </c>
      <c r="G5" t="str">
        <v>Pulsómetro de Pecho</v>
      </c>
      <c r="H5">
        <v>1</v>
      </c>
      <c r="I5" t="str">
        <v>Esterilla de Yoga</v>
      </c>
      <c r="J5">
        <v>20</v>
      </c>
      <c r="K5" t="str">
        <v>Cortavientos Ligero</v>
      </c>
      <c r="L5">
        <v>1</v>
      </c>
    </row>
    <row r="6" spans="1:12" x14ac:dyDescent="0.3">
      <c r="A6" t="str">
        <v>Casco de Esquí</v>
      </c>
      <c r="B6">
        <v>6</v>
      </c>
      <c r="E6" t="str">
        <v>Neopreno Surf</v>
      </c>
      <c r="F6">
        <v>1</v>
      </c>
      <c r="I6" t="str">
        <v>Guantes de Gimnasio</v>
      </c>
      <c r="J6">
        <v>1</v>
      </c>
      <c r="K6" t="str">
        <v>Maillot de Ciclismo</v>
      </c>
      <c r="L6">
        <v>5</v>
      </c>
    </row>
    <row r="7" spans="1:12" x14ac:dyDescent="0.3">
      <c r="A7" t="str">
        <v>Cinturón de Hidratación</v>
      </c>
      <c r="B7">
        <v>1</v>
      </c>
      <c r="E7" t="str">
        <v>Raqueta de Pádel</v>
      </c>
      <c r="F7">
        <v>7</v>
      </c>
      <c r="I7" t="str">
        <v>Mancuernas 5kg (Par)</v>
      </c>
      <c r="J7">
        <v>5</v>
      </c>
      <c r="K7" t="str">
        <v>Mallas de Compresión</v>
      </c>
      <c r="L7">
        <v>3</v>
      </c>
    </row>
    <row r="8" spans="1:12" x14ac:dyDescent="0.3">
      <c r="A8" t="str">
        <v>Gafas de Natación</v>
      </c>
      <c r="B8">
        <v>2</v>
      </c>
      <c r="E8" t="str">
        <v>Raqueta de Tenis</v>
      </c>
      <c r="F8">
        <v>8</v>
      </c>
      <c r="I8" t="str">
        <v>Pesa Rusa 8kg</v>
      </c>
      <c r="J8">
        <v>2</v>
      </c>
      <c r="K8" t="str">
        <v>Mallas Térmicas</v>
      </c>
      <c r="L8">
        <v>2</v>
      </c>
    </row>
    <row r="9" spans="1:12" x14ac:dyDescent="0.3">
      <c r="A9" t="str">
        <v>Gafas de sol sport</v>
      </c>
      <c r="B9">
        <v>1</v>
      </c>
      <c r="E9" t="str">
        <v>Tabla de Paddle Surf</v>
      </c>
      <c r="F9">
        <v>1</v>
      </c>
      <c r="I9" t="str">
        <v>Rodillo de Masaje (Foam)</v>
      </c>
      <c r="J9">
        <v>20</v>
      </c>
      <c r="K9" t="str">
        <v>Sujetador Deportivo</v>
      </c>
      <c r="L9">
        <v>10</v>
      </c>
    </row>
    <row r="10" spans="1:12" x14ac:dyDescent="0.3">
      <c r="A10" t="str">
        <v>Gorra Transpirable</v>
      </c>
      <c r="B10">
        <v>9</v>
      </c>
      <c r="I10" t="str">
        <v>Saco de Boxeo</v>
      </c>
      <c r="J10">
        <v>8</v>
      </c>
      <c r="K10" t="str">
        <v>Pantalón de Chándal</v>
      </c>
      <c r="L10">
        <v>40</v>
      </c>
    </row>
    <row r="11" spans="1:12" x14ac:dyDescent="0.3">
      <c r="A11" t="str">
        <v>Mochila de Senderismo</v>
      </c>
      <c r="B11">
        <v>2</v>
      </c>
    </row>
    <row r="12" spans="1:12" x14ac:dyDescent="0.3">
      <c r="A12" t="str">
        <v>Toalla de Microfibra</v>
      </c>
      <c r="B12">
        <v>3</v>
      </c>
    </row>
    <row r="13" spans="1:12" x14ac:dyDescent="0.3">
      <c r="A13" t="str">
        <v>Gafas de Ventisca</v>
      </c>
      <c r="B13">
        <v>1</v>
      </c>
    </row>
  </sheetData>
  <mergeCells count="6">
    <mergeCell ref="K1:L1"/>
    <mergeCell ref="A1:B1"/>
    <mergeCell ref="C1:D1"/>
    <mergeCell ref="E1:F1"/>
    <mergeCell ref="G1:H1"/>
    <mergeCell ref="I1:J1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C03FDF-3CA9-492F-8048-EC444EA5D5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</vt:lpstr>
      <vt:lpstr>Venta_por_categoria</vt:lpstr>
      <vt:lpstr>venta por_categoria2</vt:lpstr>
      <vt:lpstr>producto_estrella_ventas1</vt:lpstr>
      <vt:lpstr>producto_estrella2</vt:lpstr>
      <vt:lpstr>Datos1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PAULA DE JUAN Ada1987</cp:lastModifiedBy>
  <cp:revision>0</cp:revision>
  <dcterms:created xsi:type="dcterms:W3CDTF">2026-02-17T20:36:55Z</dcterms:created>
  <dcterms:modified xsi:type="dcterms:W3CDTF">2026-03-05T20:12:39Z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2026-03-05T12:15:04Z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2f1b60e1-ae09-48eb-b2dd-7a9babe38f75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