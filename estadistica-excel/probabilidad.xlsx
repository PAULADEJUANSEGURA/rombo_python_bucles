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M\Documents\curso_big_data_paula\ejercicio_rombo_y_estadistica_excel\estadistica-excel\"/>
    </mc:Choice>
  </mc:AlternateContent>
  <xr:revisionPtr revIDLastSave="0" documentId="13_ncr:1_{0306765F-1326-49E9-96C6-F99AA76DC8E6}" xr6:coauthVersionLast="47" xr6:coauthVersionMax="47" xr10:uidLastSave="{00000000-0000-0000-0000-000000000000}"/>
  <bookViews>
    <workbookView xWindow="-108" yWindow="-108" windowWidth="30936" windowHeight="16776" activeTab="2" xr2:uid="{C286EDF6-4571-4249-94AE-BD21ACCEC70B}"/>
  </bookViews>
  <sheets>
    <sheet name="Hoja1" sheetId="1" r:id="rId1"/>
    <sheet name="Datos" sheetId="3" r:id="rId2"/>
    <sheet name="Frecuencias" sheetId="2" r:id="rId3"/>
  </sheets>
  <definedNames>
    <definedName name="DatosExternos_1" localSheetId="1" hidden="1">Datos!$A$1:$N$41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3" l="1"/>
  <c r="C5" i="2"/>
  <c r="C6" i="2"/>
  <c r="C4" i="2"/>
  <c r="B3" i="2" a="1"/>
  <c r="B3" i="2" s="1"/>
  <c r="A6" i="1"/>
  <c r="A5" i="1"/>
  <c r="B5" i="1"/>
  <c r="A4" i="1"/>
  <c r="D7" i="1"/>
  <c r="B6" i="1" s="1"/>
  <c r="C8" i="2" l="1"/>
  <c r="D6" i="2"/>
  <c r="D4" i="2"/>
  <c r="D5" i="2"/>
  <c r="B4" i="1"/>
  <c r="B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AFDBD7-162E-4651-A5B0-786B54E0E7EB}" keepAlive="1" name="Consulta - Datos" description="Conexión a la consulta 'Datos' en el libro." type="5" refreshedVersion="8" background="1" saveData="1">
    <dbPr connection="Provider=Microsoft.Mashup.OleDb.1;Data Source=$Workbook$;Location=Datos;Extended Properties=&quot;&quot;" command="SELECT * FROM [Dato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<sst xmlns="http://schemas.openxmlformats.org/spreadsheetml/2006/main" count="266" uniqueCount="85">
  <si>
    <t>Probabilidad es = casos favorables / casos totales</t>
  </si>
  <si>
    <t>Calzado</t>
  </si>
  <si>
    <t>Ropa</t>
  </si>
  <si>
    <t>Accesorios</t>
  </si>
  <si>
    <t>TIPO</t>
  </si>
  <si>
    <t>VENTAS</t>
  </si>
  <si>
    <t>TOTALES</t>
  </si>
  <si>
    <t>PROBABILIDAD DE VENTA</t>
  </si>
  <si>
    <t>ID_Venta</t>
  </si>
  <si>
    <t>Fecha</t>
  </si>
  <si>
    <t>Producto</t>
  </si>
  <si>
    <t>Categoría</t>
  </si>
  <si>
    <t>Unidades</t>
  </si>
  <si>
    <t>Precio_Unitario</t>
  </si>
  <si>
    <t>Ciudad</t>
  </si>
  <si>
    <t>Canal</t>
  </si>
  <si>
    <t>Valoración</t>
  </si>
  <si>
    <t>Ingresos</t>
  </si>
  <si>
    <t>Coste</t>
  </si>
  <si>
    <t>Beneficio</t>
  </si>
  <si>
    <t>Vendedor</t>
  </si>
  <si>
    <t>Devolución</t>
  </si>
  <si>
    <t>Gafas de sol sport</t>
  </si>
  <si>
    <t>Madrid</t>
  </si>
  <si>
    <t>App</t>
  </si>
  <si>
    <t>Ana García</t>
  </si>
  <si>
    <t>No</t>
  </si>
  <si>
    <t>Esterilla de Yoga</t>
  </si>
  <si>
    <t>Fitness</t>
  </si>
  <si>
    <t>Barcelona</t>
  </si>
  <si>
    <t>Web</t>
  </si>
  <si>
    <t>David Ruiz</t>
  </si>
  <si>
    <t>Raqueta de Pádel</t>
  </si>
  <si>
    <t>Deportes</t>
  </si>
  <si>
    <t>Valencia</t>
  </si>
  <si>
    <t>Tienda</t>
  </si>
  <si>
    <t>Carlos López</t>
  </si>
  <si>
    <t>Zapatillas de Running</t>
  </si>
  <si>
    <t>Sevilla</t>
  </si>
  <si>
    <t>Laura Martínez</t>
  </si>
  <si>
    <t>Sí</t>
  </si>
  <si>
    <t>Mancuernas 5kg (Par)</t>
  </si>
  <si>
    <t>Bilbao</t>
  </si>
  <si>
    <t>Marta Fernández</t>
  </si>
  <si>
    <t>Reloj GPS Garmin</t>
  </si>
  <si>
    <t>Electrónica</t>
  </si>
  <si>
    <t>Casco de Ciclismo</t>
  </si>
  <si>
    <t>Botella Térmica 1L</t>
  </si>
  <si>
    <t>Saco de Boxeo</t>
  </si>
  <si>
    <t>Málaga</t>
  </si>
  <si>
    <t>Mochila de Senderismo</t>
  </si>
  <si>
    <t>Mallas Térmicas</t>
  </si>
  <si>
    <t>Auriculares Inalámbricos</t>
  </si>
  <si>
    <t>Balón de Fútbol</t>
  </si>
  <si>
    <t>Cortavientos Ligero</t>
  </si>
  <si>
    <t>Cuerda de Saltar</t>
  </si>
  <si>
    <t>Banda Elástica Resistencia</t>
  </si>
  <si>
    <t>Gafas de Natación</t>
  </si>
  <si>
    <t>Zapatillas de Trekking</t>
  </si>
  <si>
    <t>Maillot de Ciclismo</t>
  </si>
  <si>
    <t>Pulsómetro de Pecho</t>
  </si>
  <si>
    <t>Calcetines Running (Pack 3)</t>
  </si>
  <si>
    <t>Bolsa de Deporte</t>
  </si>
  <si>
    <t>Gorra Transpirable</t>
  </si>
  <si>
    <t>Guantes de Gimnasio</t>
  </si>
  <si>
    <t>Raqueta de Tenis</t>
  </si>
  <si>
    <t>Bote Pelotas Pádel (Pack 3)</t>
  </si>
  <si>
    <t>Toalla de Microfibra</t>
  </si>
  <si>
    <t>Pantalón de Chándal</t>
  </si>
  <si>
    <t>Sujetador Deportivo</t>
  </si>
  <si>
    <t>Cinturón de Hidratación</t>
  </si>
  <si>
    <t>Muñequeras de Pádel</t>
  </si>
  <si>
    <t>Pesa Rusa 8kg</t>
  </si>
  <si>
    <t>Rodillo de Masaje (Foam)</t>
  </si>
  <si>
    <t>Neopreno Surf</t>
  </si>
  <si>
    <t>Tabla de Paddle Surf</t>
  </si>
  <si>
    <t>Casco de Esquí</t>
  </si>
  <si>
    <t>Gafas de Ventisca</t>
  </si>
  <si>
    <t>Mallas de Compresión</t>
  </si>
  <si>
    <t>Camiseta Térmica</t>
  </si>
  <si>
    <t>Zapatillas Halterofilia</t>
  </si>
  <si>
    <t>Tabla de frecuencias por canal</t>
  </si>
  <si>
    <t>Frecuencia absoluta</t>
  </si>
  <si>
    <t>Frecuencia Relativa</t>
  </si>
  <si>
    <t>TOTAL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</si>
</sst>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2FF59EF-EBE7-47C4-83D3-5607E6C8CE7B}" autoFormatId="16" applyNumberFormats="0" applyBorderFormats="0" applyFontFormats="0" applyPatternFormats="0" applyAlignmentFormats="0" applyWidthHeightFormats="0">
  <queryTableRefresh nextId="15">
    <queryTableFields count="14">
      <queryTableField id="1" name="ID_Venta" tableColumnId="1"/>
      <queryTableField id="2" name="Fecha" tableColumnId="2"/>
      <queryTableField id="3" name="Producto" tableColumnId="3"/>
      <queryTableField id="4" name="Categoría" tableColumnId="4"/>
      <queryTableField id="5" name="Unidades" tableColumnId="5"/>
      <queryTableField id="6" name="Precio_Unitario" tableColumnId="6"/>
      <queryTableField id="7" name="Ciudad" tableColumnId="7"/>
      <queryTableField id="8" name="Canal" tableColumnId="8"/>
      <queryTableField id="9" name="Valoración" tableColumnId="9"/>
      <queryTableField id="10" name="Ingresos" tableColumnId="10"/>
      <queryTableField id="11" name="Coste" tableColumnId="11"/>
      <queryTableField id="12" name="Beneficio" tableColumnId="12"/>
      <queryTableField id="13" name="Vendedor" tableColumnId="13"/>
      <queryTableField id="14" name="Devolución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1CF68D-21B6-4CAB-BD53-BA0B338FEFBB}" name="Datos" displayName="Datos" ref="A1:N41" tableType="queryTable" totalsRowShown="0">
  <autoFilter ref="A1:N41" xr:uid="{1A1CF68D-21B6-4CAB-BD53-BA0B338FEFBB}"/>
  <sortState xmlns:xlrd2="http://schemas.microsoft.com/office/spreadsheetml/2017/richdata2" ref="A2:N41">
    <sortCondition ref="H1:H41"/>
  </sortState>
  <tableColumns count="14">
    <tableColumn id="1" xr3:uid="{8BD709E8-9802-450F-8F6E-D94299A02482}" uniqueName="1" name="ID_Venta" queryTableFieldId="1"/>
    <tableColumn id="2" xr3:uid="{FC85C603-FB95-43EE-9AA1-B0FFA7B0D7BA}" uniqueName="2" name="Fecha" queryTableFieldId="2" dataDxfId="6"/>
    <tableColumn id="3" xr3:uid="{8AAFFCC3-A1FE-45B1-B7F1-E13B02451E54}" uniqueName="3" name="Producto" queryTableFieldId="3" dataDxfId="5"/>
    <tableColumn id="4" xr3:uid="{23963610-10E4-4E6C-9F1A-7176E98AB357}" uniqueName="4" name="Categoría" queryTableFieldId="4" dataDxfId="4"/>
    <tableColumn id="5" xr3:uid="{6E905FB6-3BA6-46B4-BDB4-CD2D6E94C122}" uniqueName="5" name="Unidades" queryTableFieldId="5"/>
    <tableColumn id="6" xr3:uid="{0B760CA6-66B0-4F2D-AC2A-C0F586B2F224}" uniqueName="6" name="Precio_Unitario" queryTableFieldId="6"/>
    <tableColumn id="7" xr3:uid="{D6C79E37-48DE-4673-8C82-EE89427083A8}" uniqueName="7" name="Ciudad" queryTableFieldId="7" dataDxfId="3"/>
    <tableColumn id="8" xr3:uid="{3F96A5D1-9696-4CF5-99A4-8B292F67C553}" uniqueName="8" name="Canal" queryTableFieldId="8" dataDxfId="2"/>
    <tableColumn id="9" xr3:uid="{41CFE3C8-AE91-46E2-AF06-46CB1AE297F8}" uniqueName="9" name="Valoración" queryTableFieldId="9"/>
    <tableColumn id="10" xr3:uid="{811BBCD0-6E20-4A5D-ACB1-59E4B436E649}" uniqueName="10" name="Ingresos" queryTableFieldId="10"/>
    <tableColumn id="11" xr3:uid="{3C6AFDF7-199F-42E8-A9C3-2FD9FE157FE7}" uniqueName="11" name="Coste" queryTableFieldId="11"/>
    <tableColumn id="12" xr3:uid="{5A07FC8F-429E-4B31-B7A3-24D7768F5E72}" uniqueName="12" name="Beneficio" queryTableFieldId="12"/>
    <tableColumn id="13" xr3:uid="{669A90B1-D005-4DF0-848D-59E7961AE469}" uniqueName="13" name="Vendedor" queryTableFieldId="13" dataDxfId="1"/>
    <tableColumn id="14" xr3:uid="{8DE02454-3C42-4990-AC66-C3FE83709562}" uniqueName="14" name="Devolución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165BC-9F83-467E-943D-D4C148DA2109}">
  <dimension ref="A1:D7"/>
  <sheetViews>
    <sheetView workbookViewId="0">
      <selection activeCell="F4" sqref="F4"/>
    </sheetView>
  </sheetViews>
  <sheetFormatPr baseColWidth="10" defaultRowHeight="14.4" x14ac:dyDescent="0.3"/>
  <cols>
    <col min="2" max="2" width="25.6640625" customWidth="1"/>
  </cols>
  <sheetData>
    <row r="1" spans="1:4" x14ac:dyDescent="0.3">
      <c r="B1" s="2" t="s">
        <v>0</v>
      </c>
      <c r="C1" s="2"/>
      <c r="D1" s="2"/>
    </row>
    <row r="3" spans="1:4" x14ac:dyDescent="0.3">
      <c r="A3" s="2" t="s">
        <v>7</v>
      </c>
      <c r="B3" s="2"/>
      <c r="C3" t="s">
        <v>4</v>
      </c>
      <c r="D3" t="s">
        <v>5</v>
      </c>
    </row>
    <row r="4" spans="1:4" x14ac:dyDescent="0.3">
      <c r="A4" s="3">
        <f>D4/D7</f>
        <v>0.21428571428571427</v>
      </c>
      <c r="B4">
        <f>D4/D7</f>
        <v>0.21428571428571427</v>
      </c>
      <c r="C4" t="s">
        <v>1</v>
      </c>
      <c r="D4">
        <v>15</v>
      </c>
    </row>
    <row r="5" spans="1:4" x14ac:dyDescent="0.3">
      <c r="A5" s="3">
        <f>D5/D7</f>
        <v>0.6428571428571429</v>
      </c>
      <c r="B5">
        <f>D5/D7</f>
        <v>0.6428571428571429</v>
      </c>
      <c r="C5" t="s">
        <v>2</v>
      </c>
      <c r="D5">
        <v>45</v>
      </c>
    </row>
    <row r="6" spans="1:4" x14ac:dyDescent="0.3">
      <c r="A6" s="3">
        <f>D6/D7</f>
        <v>0.14285714285714285</v>
      </c>
      <c r="B6">
        <f>D6/D7</f>
        <v>0.14285714285714285</v>
      </c>
      <c r="C6" t="s">
        <v>3</v>
      </c>
      <c r="D6">
        <v>10</v>
      </c>
    </row>
    <row r="7" spans="1:4" x14ac:dyDescent="0.3">
      <c r="B7">
        <f>SUM(B4,B5,B6)</f>
        <v>1</v>
      </c>
      <c r="C7" t="s">
        <v>6</v>
      </c>
      <c r="D7">
        <f>SUM(D4:D6)</f>
        <v>70</v>
      </c>
    </row>
  </sheetData>
  <mergeCells count="2">
    <mergeCell ref="B1:D1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3E8EE-8CEF-4D3C-BB20-1A4E6A832E10}">
  <dimension ref="A1:N43"/>
  <sheetViews>
    <sheetView topLeftCell="B7" workbookViewId="0">
      <selection activeCell="E43" sqref="E43"/>
    </sheetView>
  </sheetViews>
  <sheetFormatPr baseColWidth="10" defaultRowHeight="14.4" x14ac:dyDescent="0.3"/>
  <cols>
    <col min="1" max="1" width="10.5546875" bestFit="1" customWidth="1"/>
    <col min="2" max="2" width="10.33203125" bestFit="1" customWidth="1"/>
    <col min="3" max="3" width="23.33203125" bestFit="1" customWidth="1"/>
    <col min="4" max="4" width="11.21875" bestFit="1" customWidth="1"/>
    <col min="5" max="5" width="11.109375" bestFit="1" customWidth="1"/>
    <col min="6" max="6" width="16" bestFit="1" customWidth="1"/>
    <col min="7" max="7" width="9.21875" bestFit="1" customWidth="1"/>
    <col min="8" max="8" width="8" bestFit="1" customWidth="1"/>
    <col min="9" max="9" width="12.109375" bestFit="1" customWidth="1"/>
    <col min="10" max="10" width="10.109375" bestFit="1" customWidth="1"/>
    <col min="11" max="11" width="8" bestFit="1" customWidth="1"/>
    <col min="12" max="12" width="11" bestFit="1" customWidth="1"/>
    <col min="13" max="13" width="14.44140625" bestFit="1" customWidth="1"/>
    <col min="14" max="14" width="12.44140625" bestFit="1" customWidth="1"/>
  </cols>
  <sheetData>
    <row r="1" spans="1:14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</row>
    <row r="2" spans="1:14" x14ac:dyDescent="0.3">
      <c r="A2">
        <v>1001</v>
      </c>
      <c r="B2" s="4">
        <v>45352</v>
      </c>
      <c r="C2" s="5" t="s">
        <v>22</v>
      </c>
      <c r="D2" s="5" t="s">
        <v>3</v>
      </c>
      <c r="E2">
        <v>1</v>
      </c>
      <c r="F2">
        <v>25.5</v>
      </c>
      <c r="G2" s="5" t="s">
        <v>23</v>
      </c>
      <c r="H2" s="5" t="s">
        <v>24</v>
      </c>
      <c r="I2">
        <v>4</v>
      </c>
      <c r="J2">
        <v>25.5</v>
      </c>
      <c r="K2">
        <v>10</v>
      </c>
      <c r="L2">
        <v>15.5</v>
      </c>
      <c r="M2" s="5" t="s">
        <v>25</v>
      </c>
      <c r="N2" s="5" t="s">
        <v>26</v>
      </c>
    </row>
    <row r="3" spans="1:14" x14ac:dyDescent="0.3">
      <c r="A3">
        <v>1007</v>
      </c>
      <c r="B3" s="4">
        <v>45363</v>
      </c>
      <c r="C3" s="5" t="s">
        <v>46</v>
      </c>
      <c r="D3" s="5" t="s">
        <v>3</v>
      </c>
      <c r="E3">
        <v>1</v>
      </c>
      <c r="F3">
        <v>45</v>
      </c>
      <c r="G3" s="5" t="s">
        <v>29</v>
      </c>
      <c r="H3" s="5" t="s">
        <v>24</v>
      </c>
      <c r="I3">
        <v>3</v>
      </c>
      <c r="J3">
        <v>45</v>
      </c>
      <c r="K3">
        <v>20</v>
      </c>
      <c r="L3">
        <v>25</v>
      </c>
      <c r="M3" s="5" t="s">
        <v>31</v>
      </c>
      <c r="N3" s="5" t="s">
        <v>26</v>
      </c>
    </row>
    <row r="4" spans="1:14" x14ac:dyDescent="0.3">
      <c r="A4">
        <v>1011</v>
      </c>
      <c r="B4" s="4">
        <v>45373</v>
      </c>
      <c r="C4" s="5" t="s">
        <v>51</v>
      </c>
      <c r="D4" s="5" t="s">
        <v>2</v>
      </c>
      <c r="E4">
        <v>1</v>
      </c>
      <c r="F4">
        <v>28</v>
      </c>
      <c r="G4" s="5" t="s">
        <v>23</v>
      </c>
      <c r="H4" s="5" t="s">
        <v>24</v>
      </c>
      <c r="I4">
        <v>5</v>
      </c>
      <c r="J4">
        <v>28</v>
      </c>
      <c r="K4">
        <v>12</v>
      </c>
      <c r="L4">
        <v>30</v>
      </c>
      <c r="M4" s="5" t="s">
        <v>25</v>
      </c>
      <c r="N4" s="5" t="s">
        <v>26</v>
      </c>
    </row>
    <row r="5" spans="1:14" x14ac:dyDescent="0.3">
      <c r="A5">
        <v>1015</v>
      </c>
      <c r="B5" s="4">
        <v>45381</v>
      </c>
      <c r="C5" s="5" t="s">
        <v>55</v>
      </c>
      <c r="D5" s="5" t="s">
        <v>28</v>
      </c>
      <c r="E5">
        <v>5</v>
      </c>
      <c r="F5">
        <v>8</v>
      </c>
      <c r="G5" s="5" t="s">
        <v>49</v>
      </c>
      <c r="H5" s="5" t="s">
        <v>24</v>
      </c>
      <c r="I5">
        <v>5</v>
      </c>
      <c r="J5">
        <v>40</v>
      </c>
      <c r="K5">
        <v>15</v>
      </c>
      <c r="L5">
        <v>25</v>
      </c>
      <c r="M5" s="5" t="s">
        <v>43</v>
      </c>
      <c r="N5" s="5" t="s">
        <v>26</v>
      </c>
    </row>
    <row r="6" spans="1:14" x14ac:dyDescent="0.3">
      <c r="A6">
        <v>1016</v>
      </c>
      <c r="B6" s="4">
        <v>45384</v>
      </c>
      <c r="C6" s="5" t="s">
        <v>56</v>
      </c>
      <c r="D6" s="5" t="s">
        <v>28</v>
      </c>
      <c r="E6">
        <v>3</v>
      </c>
      <c r="F6">
        <v>12</v>
      </c>
      <c r="G6" s="5" t="s">
        <v>23</v>
      </c>
      <c r="H6" s="5" t="s">
        <v>24</v>
      </c>
      <c r="I6">
        <v>5</v>
      </c>
      <c r="J6">
        <v>36</v>
      </c>
      <c r="K6">
        <v>15</v>
      </c>
      <c r="L6">
        <v>21</v>
      </c>
      <c r="M6" s="5" t="s">
        <v>25</v>
      </c>
      <c r="N6" s="5" t="s">
        <v>26</v>
      </c>
    </row>
    <row r="7" spans="1:14" x14ac:dyDescent="0.3">
      <c r="A7">
        <v>1021</v>
      </c>
      <c r="B7" s="4">
        <v>45397</v>
      </c>
      <c r="C7" s="5" t="s">
        <v>61</v>
      </c>
      <c r="D7" s="5" t="s">
        <v>2</v>
      </c>
      <c r="E7">
        <v>4</v>
      </c>
      <c r="F7">
        <v>10</v>
      </c>
      <c r="G7" s="5" t="s">
        <v>49</v>
      </c>
      <c r="H7" s="5" t="s">
        <v>24</v>
      </c>
      <c r="I7">
        <v>5</v>
      </c>
      <c r="J7">
        <v>40</v>
      </c>
      <c r="K7">
        <v>16</v>
      </c>
      <c r="L7">
        <v>24</v>
      </c>
      <c r="M7" s="5" t="s">
        <v>25</v>
      </c>
      <c r="N7" s="5" t="s">
        <v>26</v>
      </c>
    </row>
    <row r="8" spans="1:14" x14ac:dyDescent="0.3">
      <c r="A8">
        <v>1024</v>
      </c>
      <c r="B8" s="4">
        <v>45404</v>
      </c>
      <c r="C8" s="5" t="s">
        <v>64</v>
      </c>
      <c r="D8" s="5" t="s">
        <v>28</v>
      </c>
      <c r="E8">
        <v>1</v>
      </c>
      <c r="F8">
        <v>18</v>
      </c>
      <c r="G8" s="5" t="s">
        <v>34</v>
      </c>
      <c r="H8" s="5" t="s">
        <v>24</v>
      </c>
      <c r="I8">
        <v>3</v>
      </c>
      <c r="J8">
        <v>18</v>
      </c>
      <c r="K8">
        <v>8</v>
      </c>
      <c r="L8">
        <v>10</v>
      </c>
      <c r="M8" s="5" t="s">
        <v>39</v>
      </c>
      <c r="N8" s="5" t="s">
        <v>26</v>
      </c>
    </row>
    <row r="9" spans="1:14" x14ac:dyDescent="0.3">
      <c r="A9">
        <v>1029</v>
      </c>
      <c r="B9" s="4">
        <v>45420</v>
      </c>
      <c r="C9" s="5" t="s">
        <v>69</v>
      </c>
      <c r="D9" s="5" t="s">
        <v>2</v>
      </c>
      <c r="E9">
        <v>2</v>
      </c>
      <c r="F9">
        <v>25</v>
      </c>
      <c r="G9" s="5" t="s">
        <v>29</v>
      </c>
      <c r="H9" s="5" t="s">
        <v>24</v>
      </c>
      <c r="I9">
        <v>5</v>
      </c>
      <c r="J9">
        <v>50</v>
      </c>
      <c r="K9">
        <v>22</v>
      </c>
      <c r="L9">
        <v>28</v>
      </c>
      <c r="M9" s="5" t="s">
        <v>39</v>
      </c>
      <c r="N9" s="5" t="s">
        <v>26</v>
      </c>
    </row>
    <row r="10" spans="1:14" x14ac:dyDescent="0.3">
      <c r="A10">
        <v>1032</v>
      </c>
      <c r="B10" s="4">
        <v>45427</v>
      </c>
      <c r="C10" s="5" t="s">
        <v>72</v>
      </c>
      <c r="D10" s="5" t="s">
        <v>28</v>
      </c>
      <c r="E10">
        <v>1</v>
      </c>
      <c r="F10">
        <v>28</v>
      </c>
      <c r="G10" s="5" t="s">
        <v>42</v>
      </c>
      <c r="H10" s="5" t="s">
        <v>24</v>
      </c>
      <c r="I10">
        <v>4</v>
      </c>
      <c r="J10">
        <v>28</v>
      </c>
      <c r="K10">
        <v>12</v>
      </c>
      <c r="L10">
        <v>16</v>
      </c>
      <c r="M10" s="5" t="s">
        <v>31</v>
      </c>
      <c r="N10" s="5" t="s">
        <v>26</v>
      </c>
    </row>
    <row r="11" spans="1:14" x14ac:dyDescent="0.3">
      <c r="A11">
        <v>1036</v>
      </c>
      <c r="B11" s="4">
        <v>45437</v>
      </c>
      <c r="C11" s="5" t="s">
        <v>76</v>
      </c>
      <c r="D11" s="5" t="s">
        <v>3</v>
      </c>
      <c r="E11">
        <v>1</v>
      </c>
      <c r="F11">
        <v>85</v>
      </c>
      <c r="G11" s="5" t="s">
        <v>34</v>
      </c>
      <c r="H11" s="5" t="s">
        <v>24</v>
      </c>
      <c r="I11">
        <v>4</v>
      </c>
      <c r="J11">
        <v>85</v>
      </c>
      <c r="K11">
        <v>45</v>
      </c>
      <c r="L11">
        <v>40</v>
      </c>
      <c r="M11" s="5" t="s">
        <v>25</v>
      </c>
      <c r="N11" s="5" t="s">
        <v>26</v>
      </c>
    </row>
    <row r="12" spans="1:14" x14ac:dyDescent="0.3">
      <c r="A12">
        <v>1039</v>
      </c>
      <c r="B12" s="4">
        <v>45445</v>
      </c>
      <c r="C12" s="5" t="s">
        <v>79</v>
      </c>
      <c r="D12" s="5" t="s">
        <v>2</v>
      </c>
      <c r="E12">
        <v>2</v>
      </c>
      <c r="F12">
        <v>35</v>
      </c>
      <c r="G12" s="5" t="s">
        <v>49</v>
      </c>
      <c r="H12" s="5" t="s">
        <v>24</v>
      </c>
      <c r="I12">
        <v>4</v>
      </c>
      <c r="J12">
        <v>70</v>
      </c>
      <c r="K12">
        <v>30</v>
      </c>
      <c r="L12">
        <v>40</v>
      </c>
      <c r="M12" s="5" t="s">
        <v>39</v>
      </c>
      <c r="N12" s="5" t="s">
        <v>26</v>
      </c>
    </row>
    <row r="13" spans="1:14" x14ac:dyDescent="0.3">
      <c r="A13">
        <v>1003</v>
      </c>
      <c r="B13" s="4">
        <v>45354</v>
      </c>
      <c r="C13" s="5" t="s">
        <v>32</v>
      </c>
      <c r="D13" s="5" t="s">
        <v>33</v>
      </c>
      <c r="E13">
        <v>1</v>
      </c>
      <c r="F13">
        <v>85</v>
      </c>
      <c r="G13" s="5" t="s">
        <v>34</v>
      </c>
      <c r="H13" s="5" t="s">
        <v>35</v>
      </c>
      <c r="I13">
        <v>4</v>
      </c>
      <c r="J13">
        <v>85</v>
      </c>
      <c r="K13">
        <v>45</v>
      </c>
      <c r="L13">
        <v>40</v>
      </c>
      <c r="M13" s="5" t="s">
        <v>36</v>
      </c>
      <c r="N13" s="5" t="s">
        <v>26</v>
      </c>
    </row>
    <row r="14" spans="1:14" x14ac:dyDescent="0.3">
      <c r="A14">
        <v>1005</v>
      </c>
      <c r="B14" s="4">
        <v>45358</v>
      </c>
      <c r="C14" s="5" t="s">
        <v>41</v>
      </c>
      <c r="D14" s="5" t="s">
        <v>28</v>
      </c>
      <c r="E14">
        <v>1</v>
      </c>
      <c r="F14">
        <v>35</v>
      </c>
      <c r="G14" s="5" t="s">
        <v>42</v>
      </c>
      <c r="H14" s="5" t="s">
        <v>35</v>
      </c>
      <c r="I14">
        <v>4</v>
      </c>
      <c r="J14">
        <v>35</v>
      </c>
      <c r="K14">
        <v>15</v>
      </c>
      <c r="L14">
        <v>20</v>
      </c>
      <c r="M14" s="5" t="s">
        <v>43</v>
      </c>
      <c r="N14" s="5" t="s">
        <v>26</v>
      </c>
    </row>
    <row r="15" spans="1:14" x14ac:dyDescent="0.3">
      <c r="A15">
        <v>1008</v>
      </c>
      <c r="B15" s="4">
        <v>45366</v>
      </c>
      <c r="C15" s="5" t="s">
        <v>47</v>
      </c>
      <c r="D15" s="5" t="s">
        <v>3</v>
      </c>
      <c r="E15">
        <v>3</v>
      </c>
      <c r="F15">
        <v>15</v>
      </c>
      <c r="G15" s="5" t="s">
        <v>34</v>
      </c>
      <c r="H15" s="5" t="s">
        <v>35</v>
      </c>
      <c r="I15">
        <v>4</v>
      </c>
      <c r="J15">
        <v>45</v>
      </c>
      <c r="K15">
        <v>18</v>
      </c>
      <c r="L15">
        <v>27</v>
      </c>
      <c r="M15" s="5" t="s">
        <v>36</v>
      </c>
      <c r="N15" s="5" t="s">
        <v>26</v>
      </c>
    </row>
    <row r="16" spans="1:14" x14ac:dyDescent="0.3">
      <c r="A16">
        <v>1010</v>
      </c>
      <c r="B16" s="4">
        <v>45371</v>
      </c>
      <c r="C16" s="5" t="s">
        <v>50</v>
      </c>
      <c r="D16" s="5" t="s">
        <v>3</v>
      </c>
      <c r="E16">
        <v>2</v>
      </c>
      <c r="F16">
        <v>65</v>
      </c>
      <c r="G16" s="5" t="s">
        <v>42</v>
      </c>
      <c r="H16" s="5" t="s">
        <v>35</v>
      </c>
      <c r="I16">
        <v>4</v>
      </c>
      <c r="J16">
        <v>130</v>
      </c>
      <c r="K16">
        <v>70</v>
      </c>
      <c r="L16">
        <v>60</v>
      </c>
      <c r="M16" s="5" t="s">
        <v>43</v>
      </c>
      <c r="N16" s="5" t="s">
        <v>26</v>
      </c>
    </row>
    <row r="17" spans="1:14" x14ac:dyDescent="0.3">
      <c r="A17">
        <v>1013</v>
      </c>
      <c r="B17" s="4">
        <v>45378</v>
      </c>
      <c r="C17" s="5" t="s">
        <v>53</v>
      </c>
      <c r="D17" s="5" t="s">
        <v>33</v>
      </c>
      <c r="E17">
        <v>4</v>
      </c>
      <c r="F17">
        <v>20</v>
      </c>
      <c r="G17" s="5" t="s">
        <v>38</v>
      </c>
      <c r="H17" s="5" t="s">
        <v>35</v>
      </c>
      <c r="I17">
        <v>4</v>
      </c>
      <c r="J17">
        <v>80</v>
      </c>
      <c r="K17">
        <v>32</v>
      </c>
      <c r="L17">
        <v>48</v>
      </c>
      <c r="M17" s="5" t="s">
        <v>36</v>
      </c>
      <c r="N17" s="5" t="s">
        <v>26</v>
      </c>
    </row>
    <row r="18" spans="1:14" x14ac:dyDescent="0.3">
      <c r="A18">
        <v>1017</v>
      </c>
      <c r="B18" s="4">
        <v>45387</v>
      </c>
      <c r="C18" s="5" t="s">
        <v>57</v>
      </c>
      <c r="D18" s="5" t="s">
        <v>3</v>
      </c>
      <c r="E18">
        <v>2</v>
      </c>
      <c r="F18">
        <v>18</v>
      </c>
      <c r="G18" s="5" t="s">
        <v>29</v>
      </c>
      <c r="H18" s="5" t="s">
        <v>35</v>
      </c>
      <c r="I18">
        <v>4</v>
      </c>
      <c r="J18">
        <v>36</v>
      </c>
      <c r="K18">
        <v>16</v>
      </c>
      <c r="L18">
        <v>20</v>
      </c>
      <c r="M18" s="5" t="s">
        <v>31</v>
      </c>
      <c r="N18" s="5" t="s">
        <v>26</v>
      </c>
    </row>
    <row r="19" spans="1:14" x14ac:dyDescent="0.3">
      <c r="A19">
        <v>1019</v>
      </c>
      <c r="B19" s="4">
        <v>45392</v>
      </c>
      <c r="C19" s="5" t="s">
        <v>59</v>
      </c>
      <c r="D19" s="5" t="s">
        <v>2</v>
      </c>
      <c r="E19">
        <v>1</v>
      </c>
      <c r="F19">
        <v>45</v>
      </c>
      <c r="G19" s="5" t="s">
        <v>38</v>
      </c>
      <c r="H19" s="5" t="s">
        <v>35</v>
      </c>
      <c r="I19">
        <v>5</v>
      </c>
      <c r="J19">
        <v>45</v>
      </c>
      <c r="K19">
        <v>20</v>
      </c>
      <c r="L19">
        <v>25</v>
      </c>
      <c r="M19" s="5" t="s">
        <v>39</v>
      </c>
      <c r="N19" s="5" t="s">
        <v>26</v>
      </c>
    </row>
    <row r="20" spans="1:14" x14ac:dyDescent="0.3">
      <c r="A20">
        <v>1022</v>
      </c>
      <c r="B20" s="4">
        <v>45399</v>
      </c>
      <c r="C20" s="5" t="s">
        <v>62</v>
      </c>
      <c r="D20" s="5" t="s">
        <v>3</v>
      </c>
      <c r="E20">
        <v>1</v>
      </c>
      <c r="F20">
        <v>35</v>
      </c>
      <c r="G20" s="5" t="s">
        <v>23</v>
      </c>
      <c r="H20" s="5" t="s">
        <v>35</v>
      </c>
      <c r="I20">
        <v>4</v>
      </c>
      <c r="J20">
        <v>35</v>
      </c>
      <c r="K20">
        <v>15</v>
      </c>
      <c r="L20">
        <v>20</v>
      </c>
      <c r="M20" s="5" t="s">
        <v>31</v>
      </c>
      <c r="N20" s="5" t="s">
        <v>26</v>
      </c>
    </row>
    <row r="21" spans="1:14" x14ac:dyDescent="0.3">
      <c r="A21">
        <v>1025</v>
      </c>
      <c r="B21" s="4">
        <v>45407</v>
      </c>
      <c r="C21" s="5" t="s">
        <v>65</v>
      </c>
      <c r="D21" s="5" t="s">
        <v>33</v>
      </c>
      <c r="E21">
        <v>1</v>
      </c>
      <c r="F21">
        <v>120</v>
      </c>
      <c r="G21" s="5" t="s">
        <v>38</v>
      </c>
      <c r="H21" s="5" t="s">
        <v>35</v>
      </c>
      <c r="I21">
        <v>5</v>
      </c>
      <c r="J21">
        <v>120</v>
      </c>
      <c r="K21">
        <v>70</v>
      </c>
      <c r="L21">
        <v>50</v>
      </c>
      <c r="M21" s="5" t="s">
        <v>43</v>
      </c>
      <c r="N21" s="5" t="s">
        <v>26</v>
      </c>
    </row>
    <row r="22" spans="1:14" x14ac:dyDescent="0.3">
      <c r="A22">
        <v>1027</v>
      </c>
      <c r="B22" s="4">
        <v>45414</v>
      </c>
      <c r="C22" s="5" t="s">
        <v>67</v>
      </c>
      <c r="D22" s="5" t="s">
        <v>3</v>
      </c>
      <c r="E22">
        <v>3</v>
      </c>
      <c r="F22">
        <v>12</v>
      </c>
      <c r="G22" s="5" t="s">
        <v>49</v>
      </c>
      <c r="H22" s="5" t="s">
        <v>35</v>
      </c>
      <c r="I22">
        <v>5</v>
      </c>
      <c r="J22">
        <v>36</v>
      </c>
      <c r="K22">
        <v>15</v>
      </c>
      <c r="L22">
        <v>21</v>
      </c>
      <c r="M22" s="5" t="s">
        <v>31</v>
      </c>
      <c r="N22" s="5" t="s">
        <v>26</v>
      </c>
    </row>
    <row r="23" spans="1:14" x14ac:dyDescent="0.3">
      <c r="A23">
        <v>1030</v>
      </c>
      <c r="B23" s="4">
        <v>45422</v>
      </c>
      <c r="C23" s="5" t="s">
        <v>70</v>
      </c>
      <c r="D23" s="5" t="s">
        <v>3</v>
      </c>
      <c r="E23">
        <v>1</v>
      </c>
      <c r="F23">
        <v>22</v>
      </c>
      <c r="G23" s="5" t="s">
        <v>34</v>
      </c>
      <c r="H23" s="5" t="s">
        <v>35</v>
      </c>
      <c r="I23">
        <v>4</v>
      </c>
      <c r="J23">
        <v>22</v>
      </c>
      <c r="K23">
        <v>10</v>
      </c>
      <c r="L23">
        <v>12</v>
      </c>
      <c r="M23" s="5" t="s">
        <v>43</v>
      </c>
      <c r="N23" s="5" t="s">
        <v>26</v>
      </c>
    </row>
    <row r="24" spans="1:14" x14ac:dyDescent="0.3">
      <c r="A24">
        <v>1033</v>
      </c>
      <c r="B24" s="4">
        <v>45430</v>
      </c>
      <c r="C24" s="5" t="s">
        <v>73</v>
      </c>
      <c r="D24" s="5" t="s">
        <v>28</v>
      </c>
      <c r="E24">
        <v>1</v>
      </c>
      <c r="F24">
        <v>20</v>
      </c>
      <c r="G24" s="5" t="s">
        <v>49</v>
      </c>
      <c r="H24" s="5" t="s">
        <v>35</v>
      </c>
      <c r="I24">
        <v>5</v>
      </c>
      <c r="J24">
        <v>20</v>
      </c>
      <c r="K24">
        <v>9</v>
      </c>
      <c r="L24">
        <v>11</v>
      </c>
      <c r="M24" s="5" t="s">
        <v>36</v>
      </c>
      <c r="N24" s="5" t="s">
        <v>26</v>
      </c>
    </row>
    <row r="25" spans="1:14" x14ac:dyDescent="0.3">
      <c r="A25">
        <v>1035</v>
      </c>
      <c r="B25" s="4">
        <v>45434</v>
      </c>
      <c r="C25" s="5" t="s">
        <v>75</v>
      </c>
      <c r="D25" s="5" t="s">
        <v>33</v>
      </c>
      <c r="E25">
        <v>1</v>
      </c>
      <c r="F25">
        <v>300</v>
      </c>
      <c r="G25" s="5" t="s">
        <v>29</v>
      </c>
      <c r="H25" s="5" t="s">
        <v>35</v>
      </c>
      <c r="I25">
        <v>5</v>
      </c>
      <c r="J25">
        <v>300</v>
      </c>
      <c r="K25">
        <v>180</v>
      </c>
      <c r="L25">
        <v>120</v>
      </c>
      <c r="M25" s="5" t="s">
        <v>43</v>
      </c>
      <c r="N25" s="5" t="s">
        <v>26</v>
      </c>
    </row>
    <row r="26" spans="1:14" x14ac:dyDescent="0.3">
      <c r="A26">
        <v>1038</v>
      </c>
      <c r="B26" s="4">
        <v>45442</v>
      </c>
      <c r="C26" s="5" t="s">
        <v>78</v>
      </c>
      <c r="D26" s="5" t="s">
        <v>2</v>
      </c>
      <c r="E26">
        <v>1</v>
      </c>
      <c r="F26">
        <v>40</v>
      </c>
      <c r="G26" s="5" t="s">
        <v>42</v>
      </c>
      <c r="H26" s="5" t="s">
        <v>35</v>
      </c>
      <c r="I26">
        <v>5</v>
      </c>
      <c r="J26">
        <v>40</v>
      </c>
      <c r="K26">
        <v>18</v>
      </c>
      <c r="L26">
        <v>22</v>
      </c>
      <c r="M26" s="5" t="s">
        <v>36</v>
      </c>
      <c r="N26" s="5" t="s">
        <v>26</v>
      </c>
    </row>
    <row r="27" spans="1:14" x14ac:dyDescent="0.3">
      <c r="A27">
        <v>1002</v>
      </c>
      <c r="B27" s="4">
        <v>45353</v>
      </c>
      <c r="C27" s="5" t="s">
        <v>27</v>
      </c>
      <c r="D27" s="5" t="s">
        <v>28</v>
      </c>
      <c r="E27">
        <v>2</v>
      </c>
      <c r="F27">
        <v>18</v>
      </c>
      <c r="G27" s="5" t="s">
        <v>29</v>
      </c>
      <c r="H27" s="5" t="s">
        <v>30</v>
      </c>
      <c r="I27">
        <v>5</v>
      </c>
      <c r="J27">
        <v>36</v>
      </c>
      <c r="K27">
        <v>14</v>
      </c>
      <c r="L27">
        <v>22</v>
      </c>
      <c r="M27" s="5" t="s">
        <v>31</v>
      </c>
      <c r="N27" s="5" t="s">
        <v>26</v>
      </c>
    </row>
    <row r="28" spans="1:14" x14ac:dyDescent="0.3">
      <c r="A28">
        <v>1004</v>
      </c>
      <c r="B28" s="4">
        <v>45356</v>
      </c>
      <c r="C28" s="5" t="s">
        <v>37</v>
      </c>
      <c r="D28" s="5" t="s">
        <v>1</v>
      </c>
      <c r="E28">
        <v>1</v>
      </c>
      <c r="F28">
        <v>110</v>
      </c>
      <c r="G28" s="5" t="s">
        <v>38</v>
      </c>
      <c r="H28" s="5" t="s">
        <v>30</v>
      </c>
      <c r="I28">
        <v>5</v>
      </c>
      <c r="J28">
        <v>110</v>
      </c>
      <c r="K28">
        <v>60</v>
      </c>
      <c r="L28">
        <v>50</v>
      </c>
      <c r="M28" s="5" t="s">
        <v>39</v>
      </c>
      <c r="N28" s="5" t="s">
        <v>40</v>
      </c>
    </row>
    <row r="29" spans="1:14" x14ac:dyDescent="0.3">
      <c r="A29">
        <v>1006</v>
      </c>
      <c r="B29" s="4">
        <v>45361</v>
      </c>
      <c r="C29" s="5" t="s">
        <v>44</v>
      </c>
      <c r="D29" s="5" t="s">
        <v>45</v>
      </c>
      <c r="E29">
        <v>1</v>
      </c>
      <c r="F29">
        <v>250</v>
      </c>
      <c r="G29" s="5" t="s">
        <v>23</v>
      </c>
      <c r="H29" s="5" t="s">
        <v>30</v>
      </c>
      <c r="I29">
        <v>5</v>
      </c>
      <c r="J29">
        <v>250</v>
      </c>
      <c r="K29">
        <v>180</v>
      </c>
      <c r="L29">
        <v>70</v>
      </c>
      <c r="M29" s="5" t="s">
        <v>25</v>
      </c>
      <c r="N29" s="5" t="s">
        <v>26</v>
      </c>
    </row>
    <row r="30" spans="1:14" x14ac:dyDescent="0.3">
      <c r="A30">
        <v>1009</v>
      </c>
      <c r="B30" s="4">
        <v>45369</v>
      </c>
      <c r="C30" s="5" t="s">
        <v>48</v>
      </c>
      <c r="D30" s="5" t="s">
        <v>28</v>
      </c>
      <c r="E30">
        <v>1</v>
      </c>
      <c r="F30">
        <v>90</v>
      </c>
      <c r="G30" s="5" t="s">
        <v>49</v>
      </c>
      <c r="H30" s="5" t="s">
        <v>30</v>
      </c>
      <c r="I30">
        <v>5</v>
      </c>
      <c r="J30">
        <v>90</v>
      </c>
      <c r="K30">
        <v>50</v>
      </c>
      <c r="L30">
        <v>40</v>
      </c>
      <c r="M30" s="5" t="s">
        <v>39</v>
      </c>
      <c r="N30" s="5" t="s">
        <v>26</v>
      </c>
    </row>
    <row r="31" spans="1:14" x14ac:dyDescent="0.3">
      <c r="A31">
        <v>1012</v>
      </c>
      <c r="B31" s="4">
        <v>45376</v>
      </c>
      <c r="C31" s="5" t="s">
        <v>52</v>
      </c>
      <c r="D31" s="5" t="s">
        <v>45</v>
      </c>
      <c r="E31">
        <v>1</v>
      </c>
      <c r="F31">
        <v>55</v>
      </c>
      <c r="G31" s="5" t="s">
        <v>29</v>
      </c>
      <c r="H31" s="5" t="s">
        <v>30</v>
      </c>
      <c r="I31">
        <v>2</v>
      </c>
      <c r="J31">
        <v>55</v>
      </c>
      <c r="K31">
        <v>25</v>
      </c>
      <c r="L31">
        <v>30</v>
      </c>
      <c r="M31" s="5" t="s">
        <v>31</v>
      </c>
      <c r="N31" s="5" t="s">
        <v>40</v>
      </c>
    </row>
    <row r="32" spans="1:14" x14ac:dyDescent="0.3">
      <c r="A32">
        <v>1014</v>
      </c>
      <c r="B32" s="4">
        <v>45380</v>
      </c>
      <c r="C32" s="5" t="s">
        <v>54</v>
      </c>
      <c r="D32" s="5" t="s">
        <v>2</v>
      </c>
      <c r="E32">
        <v>1</v>
      </c>
      <c r="F32">
        <v>42</v>
      </c>
      <c r="G32" s="5" t="s">
        <v>34</v>
      </c>
      <c r="H32" s="5" t="s">
        <v>30</v>
      </c>
      <c r="I32">
        <v>4</v>
      </c>
      <c r="J32">
        <v>42</v>
      </c>
      <c r="K32">
        <v>18</v>
      </c>
      <c r="L32">
        <v>24</v>
      </c>
      <c r="M32" s="5" t="s">
        <v>39</v>
      </c>
      <c r="N32" s="5" t="s">
        <v>26</v>
      </c>
    </row>
    <row r="33" spans="1:14" x14ac:dyDescent="0.3">
      <c r="A33">
        <v>1018</v>
      </c>
      <c r="B33" s="4">
        <v>45390</v>
      </c>
      <c r="C33" s="5" t="s">
        <v>58</v>
      </c>
      <c r="D33" s="5" t="s">
        <v>1</v>
      </c>
      <c r="E33">
        <v>1</v>
      </c>
      <c r="F33">
        <v>95</v>
      </c>
      <c r="G33" s="5" t="s">
        <v>34</v>
      </c>
      <c r="H33" s="5" t="s">
        <v>30</v>
      </c>
      <c r="I33">
        <v>4</v>
      </c>
      <c r="J33">
        <v>95</v>
      </c>
      <c r="K33">
        <v>55</v>
      </c>
      <c r="L33">
        <v>40</v>
      </c>
      <c r="M33" s="5" t="s">
        <v>36</v>
      </c>
      <c r="N33" s="5" t="s">
        <v>26</v>
      </c>
    </row>
    <row r="34" spans="1:14" x14ac:dyDescent="0.3">
      <c r="A34">
        <v>1020</v>
      </c>
      <c r="B34" s="4">
        <v>45394</v>
      </c>
      <c r="C34" s="5" t="s">
        <v>60</v>
      </c>
      <c r="D34" s="5" t="s">
        <v>45</v>
      </c>
      <c r="E34">
        <v>1</v>
      </c>
      <c r="F34">
        <v>60</v>
      </c>
      <c r="G34" s="5" t="s">
        <v>42</v>
      </c>
      <c r="H34" s="5" t="s">
        <v>30</v>
      </c>
      <c r="I34">
        <v>3</v>
      </c>
      <c r="J34">
        <v>60</v>
      </c>
      <c r="K34">
        <v>35</v>
      </c>
      <c r="L34">
        <v>25</v>
      </c>
      <c r="M34" s="5" t="s">
        <v>43</v>
      </c>
      <c r="N34" s="5" t="s">
        <v>40</v>
      </c>
    </row>
    <row r="35" spans="1:14" x14ac:dyDescent="0.3">
      <c r="A35">
        <v>1023</v>
      </c>
      <c r="B35" s="4">
        <v>45402</v>
      </c>
      <c r="C35" s="5" t="s">
        <v>63</v>
      </c>
      <c r="D35" s="5" t="s">
        <v>3</v>
      </c>
      <c r="E35">
        <v>2</v>
      </c>
      <c r="F35">
        <v>15</v>
      </c>
      <c r="G35" s="5" t="s">
        <v>29</v>
      </c>
      <c r="H35" s="5" t="s">
        <v>30</v>
      </c>
      <c r="I35">
        <v>4</v>
      </c>
      <c r="J35">
        <v>30</v>
      </c>
      <c r="K35">
        <v>12</v>
      </c>
      <c r="L35">
        <v>18</v>
      </c>
      <c r="M35" s="5" t="s">
        <v>36</v>
      </c>
      <c r="N35" s="5" t="s">
        <v>26</v>
      </c>
    </row>
    <row r="36" spans="1:14" x14ac:dyDescent="0.3">
      <c r="A36">
        <v>1026</v>
      </c>
      <c r="B36" s="4">
        <v>45410</v>
      </c>
      <c r="C36" s="5" t="s">
        <v>66</v>
      </c>
      <c r="D36" s="5" t="s">
        <v>33</v>
      </c>
      <c r="E36">
        <v>5</v>
      </c>
      <c r="F36">
        <v>6</v>
      </c>
      <c r="G36" s="5" t="s">
        <v>42</v>
      </c>
      <c r="H36" s="5" t="s">
        <v>30</v>
      </c>
      <c r="I36">
        <v>4</v>
      </c>
      <c r="J36">
        <v>30</v>
      </c>
      <c r="K36">
        <v>15</v>
      </c>
      <c r="L36">
        <v>15</v>
      </c>
      <c r="M36" s="5" t="s">
        <v>25</v>
      </c>
      <c r="N36" s="5" t="s">
        <v>26</v>
      </c>
    </row>
    <row r="37" spans="1:14" x14ac:dyDescent="0.3">
      <c r="A37">
        <v>1028</v>
      </c>
      <c r="B37" s="4">
        <v>45417</v>
      </c>
      <c r="C37" s="5" t="s">
        <v>68</v>
      </c>
      <c r="D37" s="5" t="s">
        <v>2</v>
      </c>
      <c r="E37">
        <v>1</v>
      </c>
      <c r="F37">
        <v>30</v>
      </c>
      <c r="G37" s="5" t="s">
        <v>23</v>
      </c>
      <c r="H37" s="5" t="s">
        <v>30</v>
      </c>
      <c r="I37">
        <v>4</v>
      </c>
      <c r="J37">
        <v>30</v>
      </c>
      <c r="K37">
        <v>14</v>
      </c>
      <c r="L37">
        <v>16</v>
      </c>
      <c r="M37" s="5" t="s">
        <v>36</v>
      </c>
      <c r="N37" s="5" t="s">
        <v>40</v>
      </c>
    </row>
    <row r="38" spans="1:14" x14ac:dyDescent="0.3">
      <c r="A38">
        <v>1031</v>
      </c>
      <c r="B38" s="4">
        <v>45424</v>
      </c>
      <c r="C38" s="5" t="s">
        <v>71</v>
      </c>
      <c r="D38" s="5" t="s">
        <v>33</v>
      </c>
      <c r="E38">
        <v>2</v>
      </c>
      <c r="F38">
        <v>8</v>
      </c>
      <c r="G38" s="5" t="s">
        <v>38</v>
      </c>
      <c r="H38" s="5" t="s">
        <v>30</v>
      </c>
      <c r="I38">
        <v>3</v>
      </c>
      <c r="J38">
        <v>16</v>
      </c>
      <c r="K38">
        <v>6</v>
      </c>
      <c r="L38">
        <v>10</v>
      </c>
      <c r="M38" s="5" t="s">
        <v>25</v>
      </c>
      <c r="N38" s="5" t="s">
        <v>26</v>
      </c>
    </row>
    <row r="39" spans="1:14" x14ac:dyDescent="0.3">
      <c r="A39">
        <v>1034</v>
      </c>
      <c r="B39" s="4">
        <v>45432</v>
      </c>
      <c r="C39" s="5" t="s">
        <v>74</v>
      </c>
      <c r="D39" s="5" t="s">
        <v>33</v>
      </c>
      <c r="E39">
        <v>1</v>
      </c>
      <c r="F39">
        <v>150</v>
      </c>
      <c r="G39" s="5" t="s">
        <v>23</v>
      </c>
      <c r="H39" s="5" t="s">
        <v>30</v>
      </c>
      <c r="I39">
        <v>4</v>
      </c>
      <c r="J39">
        <v>150</v>
      </c>
      <c r="K39">
        <v>90</v>
      </c>
      <c r="L39">
        <v>60</v>
      </c>
      <c r="M39" s="5" t="s">
        <v>39</v>
      </c>
      <c r="N39" s="5" t="s">
        <v>26</v>
      </c>
    </row>
    <row r="40" spans="1:14" x14ac:dyDescent="0.3">
      <c r="A40">
        <v>1037</v>
      </c>
      <c r="B40" s="4">
        <v>45440</v>
      </c>
      <c r="C40" s="5" t="s">
        <v>77</v>
      </c>
      <c r="D40" s="5" t="s">
        <v>3</v>
      </c>
      <c r="E40">
        <v>1</v>
      </c>
      <c r="F40">
        <v>50</v>
      </c>
      <c r="G40" s="5" t="s">
        <v>38</v>
      </c>
      <c r="H40" s="5" t="s">
        <v>30</v>
      </c>
      <c r="I40">
        <v>4</v>
      </c>
      <c r="J40">
        <v>50</v>
      </c>
      <c r="K40">
        <v>25</v>
      </c>
      <c r="L40">
        <v>25</v>
      </c>
      <c r="M40" s="5" t="s">
        <v>31</v>
      </c>
      <c r="N40" s="5" t="s">
        <v>40</v>
      </c>
    </row>
    <row r="41" spans="1:14" x14ac:dyDescent="0.3">
      <c r="A41">
        <v>1040</v>
      </c>
      <c r="B41" s="4">
        <v>45448</v>
      </c>
      <c r="C41" s="5" t="s">
        <v>80</v>
      </c>
      <c r="D41" s="5" t="s">
        <v>1</v>
      </c>
      <c r="E41">
        <v>1</v>
      </c>
      <c r="F41">
        <v>130</v>
      </c>
      <c r="G41" s="5" t="s">
        <v>23</v>
      </c>
      <c r="H41" s="5" t="s">
        <v>30</v>
      </c>
      <c r="I41">
        <v>5</v>
      </c>
      <c r="J41">
        <v>130</v>
      </c>
      <c r="K41">
        <v>80</v>
      </c>
      <c r="L41">
        <v>50</v>
      </c>
      <c r="M41" s="5" t="s">
        <v>43</v>
      </c>
      <c r="N41" s="5" t="s">
        <v>26</v>
      </c>
    </row>
    <row r="43" spans="1:14" x14ac:dyDescent="0.3">
      <c r="E43">
        <f>SUM(Datos[Unidades])</f>
        <v>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BF650-4A78-43E6-9367-E082CFDD695C}">
  <dimension ref="A1:D8"/>
  <sheetViews>
    <sheetView tabSelected="1" workbookViewId="0">
      <selection activeCell="D8" sqref="D8"/>
    </sheetView>
  </sheetViews>
  <sheetFormatPr baseColWidth="10" defaultRowHeight="14.4" x14ac:dyDescent="0.3"/>
  <cols>
    <col min="1" max="1" width="27.5546875" customWidth="1"/>
    <col min="2" max="2" width="18.109375" customWidth="1"/>
    <col min="3" max="3" width="26" customWidth="1"/>
    <col min="4" max="4" width="19.6640625" customWidth="1"/>
  </cols>
  <sheetData>
    <row r="1" spans="1:4" x14ac:dyDescent="0.3">
      <c r="A1" t="s">
        <v>81</v>
      </c>
    </row>
    <row r="2" spans="1:4" x14ac:dyDescent="0.3">
      <c r="B2" s="1"/>
    </row>
    <row r="3" spans="1:4" x14ac:dyDescent="0.3">
      <c r="B3" t="str" cm="1">
        <f t="array" ref="B3:B7">_xlfn.UNIQUE(Datos!H:H)</f>
        <v>Canal</v>
      </c>
      <c r="C3" t="s">
        <v>82</v>
      </c>
      <c r="D3" t="s">
        <v>83</v>
      </c>
    </row>
    <row r="4" spans="1:4" x14ac:dyDescent="0.3">
      <c r="B4" t="str">
        <v>App</v>
      </c>
      <c r="C4">
        <f>SUMIF(Datos!H:H,Frecuencias!B4,Datos!E:E)</f>
        <v>22</v>
      </c>
      <c r="D4" s="3">
        <f>C4/C8</f>
        <v>0.32835820895522388</v>
      </c>
    </row>
    <row r="5" spans="1:4" x14ac:dyDescent="0.3">
      <c r="B5" t="str">
        <v>Tienda</v>
      </c>
      <c r="C5">
        <f>SUMIF(Datos!H:H,Frecuencias!B5,Datos!E:E)</f>
        <v>23</v>
      </c>
      <c r="D5" s="3">
        <f>C5/C8</f>
        <v>0.34328358208955223</v>
      </c>
    </row>
    <row r="6" spans="1:4" x14ac:dyDescent="0.3">
      <c r="B6" t="str">
        <v>Web</v>
      </c>
      <c r="C6">
        <f>SUMIF(Datos!H:H,Frecuencias!B6,Datos!E:E)</f>
        <v>22</v>
      </c>
      <c r="D6" s="3">
        <f>C6/C8</f>
        <v>0.32835820895522388</v>
      </c>
    </row>
    <row r="7" spans="1:4" x14ac:dyDescent="0.3">
      <c r="B7">
        <v>0</v>
      </c>
    </row>
    <row r="8" spans="1:4" x14ac:dyDescent="0.3">
      <c r="B8" t="s">
        <v>84</v>
      </c>
      <c r="C8">
        <f>SUM(C4:C6)</f>
        <v>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B6B2EC-B4D4-486B-9AC8-D7B9517CAE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Datos</vt:lpstr>
      <vt:lpstr>Frecuencias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XTALENTO 109</dc:creator>
  <cp:lastModifiedBy>XTALENTO 109</cp:lastModifiedBy>
  <dcterms:created xsi:type="dcterms:W3CDTF">2026-03-06T12:03:49Z</dcterms:created>
  <dcterms:modified xsi:type="dcterms:W3CDTF">2026-03-06T13:04:18Z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2026-03-06T12:15:34Z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2574ce34-acab-483b-a4e1-58c21d27b854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