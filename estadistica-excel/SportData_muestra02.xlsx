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M\Documents\curso_big_data_paula\ejercicio_rombo_y_estadistica_excel\estadistica-excel\"/>
    </mc:Choice>
  </mc:AlternateContent>
  <xr:revisionPtr revIDLastSave="0" documentId="13_ncr:1_{B01857B3-2B57-4D72-A01D-82356E587720}" xr6:coauthVersionLast="47" xr6:coauthVersionMax="47" xr10:uidLastSave="{00000000-0000-0000-0000-000000000000}"/>
  <bookViews>
    <workbookView xWindow="864" yWindow="0" windowWidth="29952" windowHeight="16656" tabRatio="500" firstSheet="1" activeTab="3" xr2:uid="{00000000-000D-0000-FFFF-FFFF00000000}"/>
  </bookViews>
  <sheets>
    <sheet name="Datos" sheetId="1" r:id="rId1"/>
    <sheet name="Venta_por_categoria" sheetId="2" r:id="rId2"/>
    <sheet name="venta por_categoria2" sheetId="3" r:id="rId3"/>
    <sheet name="beneficio_por_canal" sheetId="6" r:id="rId4"/>
    <sheet name="canal_de_venta" sheetId="5" r:id="rId5"/>
  </sheets>
  <definedNames>
    <definedName name="_xlnm._FilterDatabase" localSheetId="0" hidden="1">Datos!$A$1:$N$41</definedName>
    <definedName name="_xlchart.v1.0" hidden="1">'venta por_categoria2'!$E$1:$E$14</definedName>
    <definedName name="_xlchart.v1.1" hidden="1">'venta por_categoria2'!$G$1:$G$14</definedName>
    <definedName name="_xlchart.v1.2" hidden="1">'venta por_categoria2'!$E$1:$E$14</definedName>
    <definedName name="_xlchart.v1.3" hidden="1">'venta por_categoria2'!$G$1:$G$14</definedName>
    <definedName name="DatosExternos_1" localSheetId="3" hidden="1">beneficio_por_canal!$A$1:$N$41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6" l="1"/>
  <c r="R4" i="6"/>
  <c r="R2" i="6"/>
  <c r="C4" i="3" a="1"/>
  <c r="A3" i="2" a="1"/>
  <c r="C4" i="3" l="1"/>
  <c r="A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E18AFD-6144-42D9-97CC-2E69141FAB3C}" keepAlive="1" name="Consulta - Datos" description="Conexión a la consulta 'Datos' en el libro." type="5" refreshedVersion="8" background="1" saveData="1">
    <dbPr connection="Provider=Microsoft.Mashup.OleDb.1;Data Source=$Workbook$;Location=Datos;Extended Properties=&quot;&quot;" command="SELECT * FROM [Dato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<sst xmlns="http://schemas.openxmlformats.org/spreadsheetml/2006/main" count="518" uniqueCount="77">
  <si>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</si>
  <si>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</si>
  <si>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</si>
  <si>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</si>
  <si>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</si>
  <si>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</si>
  <si>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</si>
  <si>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</si>
  <si>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</si>
  <si>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</si>
  <si>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</si>
  <si>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</si>
  <si>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</si>
  <si>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</si>
  <si>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Ropa</t>
  </si>
  <si>
    <t>Valencia</t>
  </si>
  <si>
    <t>Web</t>
  </si>
  <si>
    <t>Carlos López</t>
  </si>
  <si>
    <t>Sí</t>
  </si>
  <si>
    <t>Accesorios</t>
  </si>
  <si>
    <t>Sevilla</t>
  </si>
  <si>
    <t>Tienda</t>
  </si>
  <si>
    <t>Ana García</t>
  </si>
  <si>
    <t>No</t>
  </si>
  <si>
    <t>Calzado</t>
  </si>
  <si>
    <t>Laura Martínez</t>
  </si>
  <si>
    <t>Madrid</t>
  </si>
  <si>
    <t>Electrónica</t>
  </si>
  <si>
    <t>App</t>
  </si>
  <si>
    <t>Marta Fernández</t>
  </si>
  <si>
    <t>Gafas de sol sport</t>
  </si>
  <si>
    <t>Barcelona</t>
  </si>
  <si>
    <t>David Ruiz</t>
  </si>
  <si>
    <t>Bilbao</t>
  </si>
  <si>
    <t>Málaga</t>
  </si>
  <si>
    <t>FILTRO</t>
  </si>
  <si>
    <t>Esterilla de Yoga</t>
  </si>
  <si>
    <t>Fitness</t>
  </si>
  <si>
    <t>Raqueta de Pádel</t>
  </si>
  <si>
    <t>Deportes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</si>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</sst>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_€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theme="0"/>
      <name val="Calibri"/>
      <family val="2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2" fillId="3" borderId="0" xfId="0" applyFont="1" applyFill="1"/>
    <xf numFmtId="0" fontId="3" fillId="0" borderId="0" xfId="0" applyFont="1"/>
    <xf numFmtId="14" fontId="3" fillId="0" borderId="0" xfId="0" applyNumberFormat="1" applyFont="1"/>
    <xf numFmtId="8" fontId="3" fillId="0" borderId="0" xfId="0" applyNumberFormat="1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F34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'venta por_categoria2'!$E$1:$E$14</c:f>
              <c:strCache>
                <c:ptCount val="10"/>
                <c:pt idx="3">
                  <c:v>Raqueta de Pádel</c:v>
                </c:pt>
                <c:pt idx="4">
                  <c:v>Balón de Fútbol</c:v>
                </c:pt>
                <c:pt idx="5">
                  <c:v>Raqueta de Tenis</c:v>
                </c:pt>
                <c:pt idx="6">
                  <c:v>Bote Pelotas Pádel (Pack 3)</c:v>
                </c:pt>
                <c:pt idx="7">
                  <c:v>Muñequeras de Pádel</c:v>
                </c:pt>
                <c:pt idx="8">
                  <c:v>Neopreno Surf</c:v>
                </c:pt>
                <c:pt idx="9">
                  <c:v>Tabla de Paddle Surf</c:v>
                </c:pt>
              </c:strCache>
            </c:strRef>
          </c:cat>
          <c:val>
            <c:numRef>
              <c:f>'venta por_categoria2'!$G$1:$G$14</c:f>
              <c:numCache>
                <c:formatCode>General</c:formatCode>
                <c:ptCount val="14"/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4-4659-A71D-3B1A808EE71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'venta por_categoria2'!$E$1:$E$14</c:f>
              <c:strCache>
                <c:ptCount val="10"/>
                <c:pt idx="3">
                  <c:v>Raqueta de Pádel</c:v>
                </c:pt>
                <c:pt idx="4">
                  <c:v>Balón de Fútbol</c:v>
                </c:pt>
                <c:pt idx="5">
                  <c:v>Raqueta de Tenis</c:v>
                </c:pt>
                <c:pt idx="6">
                  <c:v>Bote Pelotas Pádel (Pack 3)</c:v>
                </c:pt>
                <c:pt idx="7">
                  <c:v>Muñequeras de Pádel</c:v>
                </c:pt>
                <c:pt idx="8">
                  <c:v>Neopreno Surf</c:v>
                </c:pt>
                <c:pt idx="9">
                  <c:v>Tabla de Paddle Surf</c:v>
                </c:pt>
              </c:strCache>
            </c:strRef>
          </c:cat>
          <c:val>
            <c:numRef>
              <c:f>'venta por_categoria2'!$L$1:$L$14</c:f>
            </c:numRef>
          </c:val>
          <c:extLst>
            <c:ext xmlns:c16="http://schemas.microsoft.com/office/drawing/2014/chart" uri="{C3380CC4-5D6E-409C-BE32-E72D297353CC}">
              <c16:uniqueId val="{00000001-B3C4-4659-A71D-3B1A808EE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2164448"/>
        <c:axId val="1552168768"/>
      </c:barChart>
      <c:catAx>
        <c:axId val="155216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2168768"/>
        <c:crosses val="autoZero"/>
        <c:auto val="1"/>
        <c:lblAlgn val="ctr"/>
        <c:lblOffset val="100"/>
        <c:noMultiLvlLbl val="0"/>
      </c:catAx>
      <c:valAx>
        <c:axId val="155216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216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'venta por_categoria2'!$E$1:$E$14</c:f>
              <c:strCache>
                <c:ptCount val="10"/>
                <c:pt idx="3">
                  <c:v>Raqueta de Pádel</c:v>
                </c:pt>
                <c:pt idx="4">
                  <c:v>Balón de Fútbol</c:v>
                </c:pt>
                <c:pt idx="5">
                  <c:v>Raqueta de Tenis</c:v>
                </c:pt>
                <c:pt idx="6">
                  <c:v>Bote Pelotas Pádel (Pack 3)</c:v>
                </c:pt>
                <c:pt idx="7">
                  <c:v>Muñequeras de Pádel</c:v>
                </c:pt>
                <c:pt idx="8">
                  <c:v>Neopreno Surf</c:v>
                </c:pt>
                <c:pt idx="9">
                  <c:v>Tabla de Paddle Surf</c:v>
                </c:pt>
              </c:strCache>
            </c:strRef>
          </c:cat>
          <c:val>
            <c:numRef>
              <c:f>'venta por_categoria2'!$G$1:$G$14</c:f>
              <c:numCache>
                <c:formatCode>General</c:formatCode>
                <c:ptCount val="14"/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B-4313-AE84-962D2BEE9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shape val="box"/>
        <c:axId val="1552188448"/>
        <c:axId val="1552195648"/>
        <c:axId val="0"/>
      </c:bar3DChart>
      <c:catAx>
        <c:axId val="155218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2195648"/>
        <c:crosses val="autoZero"/>
        <c:auto val="1"/>
        <c:lblAlgn val="ctr"/>
        <c:lblOffset val="100"/>
        <c:noMultiLvlLbl val="0"/>
      </c:catAx>
      <c:valAx>
        <c:axId val="155219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218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beneficio_por_canal!$R$1</c:f>
              <c:strCache>
                <c:ptCount val="1"/>
                <c:pt idx="0">
                  <c:v>Beneficio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beneficio_por_canal!$Q$2:$Q$4</c:f>
              <c:strCache>
                <c:ptCount val="3"/>
                <c:pt idx="0">
                  <c:v>App</c:v>
                </c:pt>
                <c:pt idx="1">
                  <c:v>Web</c:v>
                </c:pt>
                <c:pt idx="2">
                  <c:v>Tienda</c:v>
                </c:pt>
              </c:strCache>
            </c:strRef>
          </c:cat>
          <c:val>
            <c:numRef>
              <c:f>beneficio_por_canal!$R$2:$R$4</c:f>
              <c:numCache>
                <c:formatCode>General</c:formatCode>
                <c:ptCount val="3"/>
                <c:pt idx="0">
                  <c:v>263</c:v>
                </c:pt>
                <c:pt idx="1">
                  <c:v>495</c:v>
                </c:pt>
                <c:pt idx="2">
                  <c:v>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6-4726-A168-14BD5DFE27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1552097456"/>
        <c:axId val="1552100336"/>
      </c:barChart>
      <c:catAx>
        <c:axId val="155209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2100336"/>
        <c:crosses val="autoZero"/>
        <c:auto val="1"/>
        <c:lblAlgn val="ctr"/>
        <c:lblOffset val="100"/>
        <c:noMultiLvlLbl val="0"/>
      </c:catAx>
      <c:valAx>
        <c:axId val="1552100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2097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231140</xdr:colOff>
      <xdr:row>18</xdr:row>
      <xdr:rowOff>0</xdr:rowOff>
    </xdr:from>
    <xdr:to>
      <xdr:col>21</xdr:col>
      <xdr:colOff>45720</xdr:colOff>
      <xdr:row>33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F60821-BF5D-6DC6-8AE1-F07ADA70C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0</xdr:row>
      <xdr:rowOff>71120</xdr:rowOff>
    </xdr:from>
    <xdr:to>
      <xdr:col>24</xdr:col>
      <xdr:colOff>754380</xdr:colOff>
      <xdr:row>15</xdr:row>
      <xdr:rowOff>71120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96D389B-86FA-7B95-B799-0AC55C52E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781050</xdr:colOff>
      <xdr:row>0</xdr:row>
      <xdr:rowOff>156210</xdr:rowOff>
    </xdr:from>
    <xdr:to>
      <xdr:col>24</xdr:col>
      <xdr:colOff>598170</xdr:colOff>
      <xdr:row>15</xdr:row>
      <xdr:rowOff>156210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75DC69-269B-6114-734B-B7723D6E0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B2813B6-0C98-4F51-9353-264B42FCE302}" autoFormatId="16" applyNumberFormats="0" applyBorderFormats="0" applyFontFormats="0" applyPatternFormats="0" applyAlignmentFormats="0" applyWidthHeightFormats="0">
  <queryTableRefresh nextId="15">
    <queryTableFields count="14">
      <queryTableField id="1" name="ID_Venta" tableColumnId="1"/>
      <queryTableField id="2" name="Fecha" tableColumnId="2"/>
      <queryTableField id="3" name="Producto" tableColumnId="3"/>
      <queryTableField id="4" name="Categoría" tableColumnId="4"/>
      <queryTableField id="5" name="Unidades" tableColumnId="5"/>
      <queryTableField id="6" name="Precio_Unitario" tableColumnId="6"/>
      <queryTableField id="7" name="Ciudad" tableColumnId="7"/>
      <queryTableField id="8" name="Canal" tableColumnId="8"/>
      <queryTableField id="9" name="Valoración" tableColumnId="9"/>
      <queryTableField id="10" name="Ingresos" tableColumnId="10"/>
      <queryTableField id="11" name="Coste" tableColumnId="11"/>
      <queryTableField id="12" name="Beneficio" tableColumnId="12"/>
      <queryTableField id="13" name="Vendedor" tableColumnId="13"/>
      <queryTableField id="14" name="Devolució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652AFF-9F3D-4231-956F-75B82C6B61AA}" name="Datos" displayName="Datos" ref="A1:N41" tableType="queryTable" totalsRowShown="0">
  <autoFilter ref="A1:N41" xr:uid="{CF652AFF-9F3D-4231-956F-75B82C6B61AA}"/>
  <tableColumns count="14">
    <tableColumn id="1" xr3:uid="{16F46716-CDDF-4C17-9631-847142530398}" uniqueName="1" name="ID_Venta" queryTableFieldId="1"/>
    <tableColumn id="2" xr3:uid="{720E6D8E-72CC-4D5C-8DEC-3BC0D68B588B}" uniqueName="2" name="Fecha" queryTableFieldId="2" dataDxfId="6"/>
    <tableColumn id="3" xr3:uid="{FC7DA124-FAB7-449A-B438-1FB519196E9E}" uniqueName="3" name="Producto" queryTableFieldId="3" dataDxfId="5"/>
    <tableColumn id="4" xr3:uid="{53D1134F-D325-47CE-A914-09E65972B6F9}" uniqueName="4" name="Categoría" queryTableFieldId="4" dataDxfId="4"/>
    <tableColumn id="5" xr3:uid="{A778AF53-9C88-4A2F-81AF-8A5846E16EE9}" uniqueName="5" name="Unidades" queryTableFieldId="5"/>
    <tableColumn id="6" xr3:uid="{0FD2FF85-C55D-4117-B551-C1E7197B14E3}" uniqueName="6" name="Precio_Unitario" queryTableFieldId="6"/>
    <tableColumn id="7" xr3:uid="{0E7EB955-A767-4058-882C-02AC4195A13A}" uniqueName="7" name="Ciudad" queryTableFieldId="7" dataDxfId="3"/>
    <tableColumn id="8" xr3:uid="{5A539663-C136-4EB7-9CB7-EE48A415AF88}" uniqueName="8" name="Canal" queryTableFieldId="8" dataDxfId="2"/>
    <tableColumn id="9" xr3:uid="{C36AD5CD-7BB8-4542-9C72-9A18F46C416C}" uniqueName="9" name="Valoración" queryTableFieldId="9"/>
    <tableColumn id="10" xr3:uid="{29C53272-65B5-47FD-9749-A41926E9FAD5}" uniqueName="10" name="Ingresos" queryTableFieldId="10"/>
    <tableColumn id="11" xr3:uid="{460FE27E-3461-455E-B783-1B3EF49B358D}" uniqueName="11" name="Coste" queryTableFieldId="11"/>
    <tableColumn id="12" xr3:uid="{DA9E3961-C377-4A8D-80D5-2925925CD1EB}" uniqueName="12" name="Beneficio" queryTableFieldId="12"/>
    <tableColumn id="13" xr3:uid="{65D009F6-7B04-49D2-AA94-A8ABAD0D082A}" uniqueName="13" name="Vendedor" queryTableFieldId="13" dataDxfId="1"/>
    <tableColumn id="14" xr3:uid="{3BF16B30-EFA1-4598-B7F6-4D3A22BD50A9}" uniqueName="14" name="Devolución" queryTableFieldId="14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zoomScaleNormal="100" workbookViewId="0">
      <pane ySplit="1" topLeftCell="A2" activePane="bottomLeft" state="frozen"/>
      <selection pane="bottomLeft" sqref="A1:A1048576"/>
    </sheetView>
  </sheetViews>
  <sheetFormatPr baseColWidth="10" defaultColWidth="8.6640625" defaultRowHeight="14.4" x14ac:dyDescent="0.3"/>
  <cols>
    <col min="1" max="1" width="10" customWidth="1"/>
    <col min="2" max="2" width="12" customWidth="1"/>
    <col min="3" max="3" width="22" customWidth="1"/>
    <col min="4" max="4" width="14" customWidth="1"/>
    <col min="5" max="5" width="10" customWidth="1"/>
    <col min="6" max="6" width="16" style="3" customWidth="1"/>
    <col min="7" max="7" width="14" customWidth="1"/>
    <col min="8" max="8" width="10" customWidth="1"/>
    <col min="9" max="9" width="12" customWidth="1"/>
    <col min="10" max="10" width="16" style="3" customWidth="1"/>
    <col min="11" max="12" width="14" style="3" customWidth="1"/>
    <col min="13" max="13" width="18" customWidth="1"/>
    <col min="14" max="14" width="12" customWidth="1"/>
  </cols>
  <sheetData>
    <row r="1" spans="1:14" ht="26.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spans="1:14" ht="15" customHeight="1" x14ac:dyDescent="0.3">
      <c r="A2" s="5">
        <v>1001</v>
      </c>
      <c r="B2" s="6">
        <v>45352</v>
      </c>
      <c r="C2" s="5" t="s">
        <v>30</v>
      </c>
      <c r="D2" s="5" t="s">
        <v>19</v>
      </c>
      <c r="E2" s="5">
        <v>1</v>
      </c>
      <c r="F2" s="7">
        <v>25.5</v>
      </c>
      <c r="G2" s="5" t="s">
        <v>26</v>
      </c>
      <c r="H2" s="5" t="s">
        <v>28</v>
      </c>
      <c r="I2" s="5">
        <v>4</v>
      </c>
      <c r="J2" s="7">
        <v>25.5</v>
      </c>
      <c r="K2" s="7">
        <v>10</v>
      </c>
      <c r="L2" s="7">
        <v>15.5</v>
      </c>
      <c r="M2" s="5" t="s">
        <v>22</v>
      </c>
      <c r="N2" s="5" t="s">
        <v>23</v>
      </c>
    </row>
    <row r="3" spans="1:14" ht="15" customHeight="1" x14ac:dyDescent="0.3">
      <c r="A3" s="5">
        <v>1002</v>
      </c>
      <c r="B3" s="6">
        <v>45353</v>
      </c>
      <c r="C3" s="5" t="s">
        <v>36</v>
      </c>
      <c r="D3" s="5" t="s">
        <v>37</v>
      </c>
      <c r="E3" s="5">
        <v>2</v>
      </c>
      <c r="F3" s="7">
        <v>18</v>
      </c>
      <c r="G3" s="5" t="s">
        <v>31</v>
      </c>
      <c r="H3" s="5" t="s">
        <v>16</v>
      </c>
      <c r="I3" s="5">
        <v>5</v>
      </c>
      <c r="J3" s="7">
        <v>36</v>
      </c>
      <c r="K3" s="7">
        <v>14</v>
      </c>
      <c r="L3" s="7">
        <v>22</v>
      </c>
      <c r="M3" s="5" t="s">
        <v>32</v>
      </c>
      <c r="N3" s="5" t="s">
        <v>23</v>
      </c>
    </row>
    <row r="4" spans="1:14" ht="15" customHeight="1" x14ac:dyDescent="0.3">
      <c r="A4" s="5">
        <v>1003</v>
      </c>
      <c r="B4" s="6">
        <v>45354</v>
      </c>
      <c r="C4" s="5" t="s">
        <v>38</v>
      </c>
      <c r="D4" s="5" t="s">
        <v>39</v>
      </c>
      <c r="E4" s="5">
        <v>1</v>
      </c>
      <c r="F4" s="7">
        <v>85</v>
      </c>
      <c r="G4" s="5" t="s">
        <v>15</v>
      </c>
      <c r="H4" s="5" t="s">
        <v>21</v>
      </c>
      <c r="I4" s="5">
        <v>4</v>
      </c>
      <c r="J4" s="7">
        <v>85</v>
      </c>
      <c r="K4" s="7">
        <v>45</v>
      </c>
      <c r="L4" s="7">
        <v>40</v>
      </c>
      <c r="M4" s="5" t="s">
        <v>17</v>
      </c>
      <c r="N4" s="5" t="s">
        <v>23</v>
      </c>
    </row>
    <row r="5" spans="1:14" ht="15" customHeight="1" x14ac:dyDescent="0.3">
      <c r="A5" s="5">
        <v>1004</v>
      </c>
      <c r="B5" s="6">
        <v>45356</v>
      </c>
      <c r="C5" s="5" t="s">
        <v>40</v>
      </c>
      <c r="D5" s="5" t="s">
        <v>24</v>
      </c>
      <c r="E5" s="5">
        <v>1</v>
      </c>
      <c r="F5" s="7">
        <v>110</v>
      </c>
      <c r="G5" s="5" t="s">
        <v>20</v>
      </c>
      <c r="H5" s="5" t="s">
        <v>16</v>
      </c>
      <c r="I5" s="5">
        <v>5</v>
      </c>
      <c r="J5" s="7">
        <v>110</v>
      </c>
      <c r="K5" s="7">
        <v>60</v>
      </c>
      <c r="L5" s="7">
        <v>50</v>
      </c>
      <c r="M5" s="5" t="s">
        <v>25</v>
      </c>
      <c r="N5" s="5" t="s">
        <v>18</v>
      </c>
    </row>
    <row r="6" spans="1:14" ht="15" customHeight="1" x14ac:dyDescent="0.3">
      <c r="A6" s="5">
        <v>1005</v>
      </c>
      <c r="B6" s="6">
        <v>45358</v>
      </c>
      <c r="C6" s="5" t="s">
        <v>41</v>
      </c>
      <c r="D6" s="5" t="s">
        <v>37</v>
      </c>
      <c r="E6" s="5">
        <v>1</v>
      </c>
      <c r="F6" s="7">
        <v>35</v>
      </c>
      <c r="G6" s="5" t="s">
        <v>33</v>
      </c>
      <c r="H6" s="5" t="s">
        <v>21</v>
      </c>
      <c r="I6" s="5">
        <v>4</v>
      </c>
      <c r="J6" s="7">
        <v>35</v>
      </c>
      <c r="K6" s="7">
        <v>15</v>
      </c>
      <c r="L6" s="7">
        <v>20</v>
      </c>
      <c r="M6" s="5" t="s">
        <v>29</v>
      </c>
      <c r="N6" s="5" t="s">
        <v>23</v>
      </c>
    </row>
    <row r="7" spans="1:14" ht="15" customHeight="1" x14ac:dyDescent="0.3">
      <c r="A7" s="5">
        <v>1006</v>
      </c>
      <c r="B7" s="6">
        <v>45361</v>
      </c>
      <c r="C7" s="5" t="s">
        <v>42</v>
      </c>
      <c r="D7" s="5" t="s">
        <v>27</v>
      </c>
      <c r="E7" s="5">
        <v>1</v>
      </c>
      <c r="F7" s="7">
        <v>250</v>
      </c>
      <c r="G7" s="5" t="s">
        <v>26</v>
      </c>
      <c r="H7" s="5" t="s">
        <v>16</v>
      </c>
      <c r="I7" s="5">
        <v>5</v>
      </c>
      <c r="J7" s="7">
        <v>250</v>
      </c>
      <c r="K7" s="7">
        <v>180</v>
      </c>
      <c r="L7" s="7">
        <v>70</v>
      </c>
      <c r="M7" s="5" t="s">
        <v>22</v>
      </c>
      <c r="N7" s="5" t="s">
        <v>23</v>
      </c>
    </row>
    <row r="8" spans="1:14" ht="15" customHeight="1" x14ac:dyDescent="0.3">
      <c r="A8" s="5">
        <v>1007</v>
      </c>
      <c r="B8" s="6">
        <v>45363</v>
      </c>
      <c r="C8" s="5" t="s">
        <v>43</v>
      </c>
      <c r="D8" s="5" t="s">
        <v>19</v>
      </c>
      <c r="E8" s="5">
        <v>1</v>
      </c>
      <c r="F8" s="7">
        <v>45</v>
      </c>
      <c r="G8" s="5" t="s">
        <v>31</v>
      </c>
      <c r="H8" s="5" t="s">
        <v>28</v>
      </c>
      <c r="I8" s="5">
        <v>3</v>
      </c>
      <c r="J8" s="7">
        <v>45</v>
      </c>
      <c r="K8" s="7">
        <v>20</v>
      </c>
      <c r="L8" s="7">
        <v>25</v>
      </c>
      <c r="M8" s="5" t="s">
        <v>32</v>
      </c>
      <c r="N8" s="5" t="s">
        <v>23</v>
      </c>
    </row>
    <row r="9" spans="1:14" ht="15" customHeight="1" x14ac:dyDescent="0.3">
      <c r="A9" s="5">
        <v>1008</v>
      </c>
      <c r="B9" s="6">
        <v>45366</v>
      </c>
      <c r="C9" s="5" t="s">
        <v>44</v>
      </c>
      <c r="D9" s="5" t="s">
        <v>19</v>
      </c>
      <c r="E9" s="5">
        <v>3</v>
      </c>
      <c r="F9" s="7">
        <v>15</v>
      </c>
      <c r="G9" s="5" t="s">
        <v>15</v>
      </c>
      <c r="H9" s="5" t="s">
        <v>21</v>
      </c>
      <c r="I9" s="5">
        <v>4</v>
      </c>
      <c r="J9" s="7">
        <v>45</v>
      </c>
      <c r="K9" s="7">
        <v>18</v>
      </c>
      <c r="L9" s="7">
        <v>27</v>
      </c>
      <c r="M9" s="5" t="s">
        <v>17</v>
      </c>
      <c r="N9" s="5" t="s">
        <v>23</v>
      </c>
    </row>
    <row r="10" spans="1:14" ht="15" customHeight="1" x14ac:dyDescent="0.3">
      <c r="A10" s="5">
        <v>1009</v>
      </c>
      <c r="B10" s="6">
        <v>45369</v>
      </c>
      <c r="C10" s="5" t="s">
        <v>45</v>
      </c>
      <c r="D10" s="5" t="s">
        <v>37</v>
      </c>
      <c r="E10" s="5">
        <v>1</v>
      </c>
      <c r="F10" s="7">
        <v>90</v>
      </c>
      <c r="G10" s="5" t="s">
        <v>34</v>
      </c>
      <c r="H10" s="5" t="s">
        <v>16</v>
      </c>
      <c r="I10" s="5">
        <v>5</v>
      </c>
      <c r="J10" s="7">
        <v>90</v>
      </c>
      <c r="K10" s="7">
        <v>50</v>
      </c>
      <c r="L10" s="7">
        <v>40</v>
      </c>
      <c r="M10" s="5" t="s">
        <v>25</v>
      </c>
      <c r="N10" s="5" t="s">
        <v>23</v>
      </c>
    </row>
    <row r="11" spans="1:14" ht="15" customHeight="1" x14ac:dyDescent="0.3">
      <c r="A11" s="5">
        <v>1010</v>
      </c>
      <c r="B11" s="6">
        <v>45371</v>
      </c>
      <c r="C11" s="5" t="s">
        <v>46</v>
      </c>
      <c r="D11" s="5" t="s">
        <v>19</v>
      </c>
      <c r="E11" s="5">
        <v>2</v>
      </c>
      <c r="F11" s="7">
        <v>65</v>
      </c>
      <c r="G11" s="5" t="s">
        <v>33</v>
      </c>
      <c r="H11" s="5" t="s">
        <v>21</v>
      </c>
      <c r="I11" s="5">
        <v>4</v>
      </c>
      <c r="J11" s="7">
        <v>130</v>
      </c>
      <c r="K11" s="7">
        <v>70</v>
      </c>
      <c r="L11" s="7">
        <v>60</v>
      </c>
      <c r="M11" s="5" t="s">
        <v>29</v>
      </c>
      <c r="N11" s="5" t="s">
        <v>23</v>
      </c>
    </row>
    <row r="12" spans="1:14" ht="15" customHeight="1" x14ac:dyDescent="0.3">
      <c r="A12" s="5">
        <v>1011</v>
      </c>
      <c r="B12" s="6">
        <v>45373</v>
      </c>
      <c r="C12" s="5" t="s">
        <v>47</v>
      </c>
      <c r="D12" s="5" t="s">
        <v>14</v>
      </c>
      <c r="E12" s="5">
        <v>1</v>
      </c>
      <c r="F12" s="7">
        <v>28</v>
      </c>
      <c r="G12" s="5" t="s">
        <v>26</v>
      </c>
      <c r="H12" s="5" t="s">
        <v>28</v>
      </c>
      <c r="I12" s="5">
        <v>5</v>
      </c>
      <c r="J12" s="7">
        <v>28</v>
      </c>
      <c r="K12" s="7">
        <v>12</v>
      </c>
      <c r="L12" s="3">
        <v>30</v>
      </c>
      <c r="M12" s="5" t="s">
        <v>22</v>
      </c>
      <c r="N12" s="5" t="s">
        <v>23</v>
      </c>
    </row>
    <row r="13" spans="1:14" ht="15" customHeight="1" x14ac:dyDescent="0.3">
      <c r="A13" s="5">
        <v>1012</v>
      </c>
      <c r="B13" s="6">
        <v>45376</v>
      </c>
      <c r="C13" s="5" t="s">
        <v>48</v>
      </c>
      <c r="D13" s="5" t="s">
        <v>27</v>
      </c>
      <c r="E13" s="5">
        <v>1</v>
      </c>
      <c r="F13" s="7">
        <v>55</v>
      </c>
      <c r="G13" s="5" t="s">
        <v>31</v>
      </c>
      <c r="H13" s="5" t="s">
        <v>16</v>
      </c>
      <c r="I13" s="5">
        <v>2</v>
      </c>
      <c r="J13" s="7">
        <v>55</v>
      </c>
      <c r="K13" s="7">
        <v>25</v>
      </c>
      <c r="L13" s="7">
        <v>30</v>
      </c>
      <c r="M13" s="5" t="s">
        <v>32</v>
      </c>
      <c r="N13" s="5" t="s">
        <v>18</v>
      </c>
    </row>
    <row r="14" spans="1:14" ht="15" customHeight="1" x14ac:dyDescent="0.3">
      <c r="A14" s="5">
        <v>1013</v>
      </c>
      <c r="B14" s="6">
        <v>45378</v>
      </c>
      <c r="C14" s="5" t="s">
        <v>49</v>
      </c>
      <c r="D14" s="5" t="s">
        <v>39</v>
      </c>
      <c r="E14" s="5">
        <v>4</v>
      </c>
      <c r="F14" s="7">
        <v>20</v>
      </c>
      <c r="G14" s="5" t="s">
        <v>20</v>
      </c>
      <c r="H14" s="5" t="s">
        <v>21</v>
      </c>
      <c r="I14" s="5">
        <v>4</v>
      </c>
      <c r="J14" s="7">
        <v>80</v>
      </c>
      <c r="K14" s="7">
        <v>32</v>
      </c>
      <c r="L14" s="7">
        <v>48</v>
      </c>
      <c r="M14" s="5" t="s">
        <v>17</v>
      </c>
      <c r="N14" s="5" t="s">
        <v>23</v>
      </c>
    </row>
    <row r="15" spans="1:14" ht="15" customHeight="1" x14ac:dyDescent="0.3">
      <c r="A15" s="5">
        <v>1014</v>
      </c>
      <c r="B15" s="6">
        <v>45380</v>
      </c>
      <c r="C15" s="5" t="s">
        <v>50</v>
      </c>
      <c r="D15" s="5" t="s">
        <v>14</v>
      </c>
      <c r="E15" s="5">
        <v>1</v>
      </c>
      <c r="F15" s="7">
        <v>42</v>
      </c>
      <c r="G15" s="5" t="s">
        <v>15</v>
      </c>
      <c r="H15" s="5" t="s">
        <v>16</v>
      </c>
      <c r="I15" s="5">
        <v>4</v>
      </c>
      <c r="J15" s="7">
        <v>42</v>
      </c>
      <c r="K15" s="7">
        <v>18</v>
      </c>
      <c r="L15" s="7">
        <v>24</v>
      </c>
      <c r="M15" s="5" t="s">
        <v>25</v>
      </c>
      <c r="N15" s="5" t="s">
        <v>23</v>
      </c>
    </row>
    <row r="16" spans="1:14" ht="15" customHeight="1" x14ac:dyDescent="0.3">
      <c r="A16" s="5">
        <v>1015</v>
      </c>
      <c r="B16" s="6">
        <v>45381</v>
      </c>
      <c r="C16" s="5" t="s">
        <v>51</v>
      </c>
      <c r="D16" s="5" t="s">
        <v>37</v>
      </c>
      <c r="E16" s="5">
        <v>5</v>
      </c>
      <c r="F16" s="7">
        <v>8</v>
      </c>
      <c r="G16" s="5" t="s">
        <v>34</v>
      </c>
      <c r="H16" s="5" t="s">
        <v>28</v>
      </c>
      <c r="I16" s="5">
        <v>5</v>
      </c>
      <c r="J16" s="7">
        <v>40</v>
      </c>
      <c r="K16" s="7">
        <v>15</v>
      </c>
      <c r="L16" s="7">
        <v>25</v>
      </c>
      <c r="M16" s="5" t="s">
        <v>29</v>
      </c>
      <c r="N16" s="5" t="s">
        <v>23</v>
      </c>
    </row>
    <row r="17" spans="1:14" ht="15" customHeight="1" x14ac:dyDescent="0.3">
      <c r="A17" s="5">
        <v>1016</v>
      </c>
      <c r="B17" s="6">
        <v>45384</v>
      </c>
      <c r="C17" s="5" t="s">
        <v>52</v>
      </c>
      <c r="D17" s="5" t="s">
        <v>37</v>
      </c>
      <c r="E17" s="5">
        <v>3</v>
      </c>
      <c r="F17" s="7">
        <v>12</v>
      </c>
      <c r="G17" s="5" t="s">
        <v>26</v>
      </c>
      <c r="H17" s="5" t="s">
        <v>28</v>
      </c>
      <c r="I17" s="5">
        <v>5</v>
      </c>
      <c r="J17" s="7">
        <v>36</v>
      </c>
      <c r="K17" s="7">
        <v>15</v>
      </c>
      <c r="L17" s="7">
        <v>21</v>
      </c>
      <c r="M17" s="5" t="s">
        <v>22</v>
      </c>
      <c r="N17" s="5" t="s">
        <v>23</v>
      </c>
    </row>
    <row r="18" spans="1:14" ht="15" customHeight="1" x14ac:dyDescent="0.3">
      <c r="A18" s="5">
        <v>1017</v>
      </c>
      <c r="B18" s="6">
        <v>45387</v>
      </c>
      <c r="C18" s="5" t="s">
        <v>53</v>
      </c>
      <c r="D18" s="5" t="s">
        <v>19</v>
      </c>
      <c r="E18" s="5">
        <v>2</v>
      </c>
      <c r="F18" s="7">
        <v>18</v>
      </c>
      <c r="G18" s="5" t="s">
        <v>31</v>
      </c>
      <c r="H18" s="5" t="s">
        <v>21</v>
      </c>
      <c r="I18" s="5">
        <v>4</v>
      </c>
      <c r="J18" s="7">
        <v>36</v>
      </c>
      <c r="K18" s="7">
        <v>16</v>
      </c>
      <c r="L18" s="7">
        <v>20</v>
      </c>
      <c r="M18" s="5" t="s">
        <v>32</v>
      </c>
      <c r="N18" s="5" t="s">
        <v>23</v>
      </c>
    </row>
    <row r="19" spans="1:14" ht="15" customHeight="1" x14ac:dyDescent="0.3">
      <c r="A19" s="5">
        <v>1018</v>
      </c>
      <c r="B19" s="6">
        <v>45390</v>
      </c>
      <c r="C19" s="5" t="s">
        <v>54</v>
      </c>
      <c r="D19" s="5" t="s">
        <v>24</v>
      </c>
      <c r="E19" s="5">
        <v>1</v>
      </c>
      <c r="F19" s="7">
        <v>95</v>
      </c>
      <c r="G19" s="5" t="s">
        <v>15</v>
      </c>
      <c r="H19" s="5" t="s">
        <v>16</v>
      </c>
      <c r="I19" s="5">
        <v>4</v>
      </c>
      <c r="J19" s="7">
        <v>95</v>
      </c>
      <c r="K19" s="7">
        <v>55</v>
      </c>
      <c r="L19" s="7">
        <v>40</v>
      </c>
      <c r="M19" s="5" t="s">
        <v>17</v>
      </c>
      <c r="N19" s="5" t="s">
        <v>23</v>
      </c>
    </row>
    <row r="20" spans="1:14" ht="15" customHeight="1" x14ac:dyDescent="0.3">
      <c r="A20" s="5">
        <v>1019</v>
      </c>
      <c r="B20" s="6">
        <v>45392</v>
      </c>
      <c r="C20" s="5" t="s">
        <v>55</v>
      </c>
      <c r="D20" s="5" t="s">
        <v>14</v>
      </c>
      <c r="E20" s="5">
        <v>1</v>
      </c>
      <c r="F20" s="7">
        <v>45</v>
      </c>
      <c r="G20" s="5" t="s">
        <v>20</v>
      </c>
      <c r="H20" s="5" t="s">
        <v>21</v>
      </c>
      <c r="I20" s="5">
        <v>5</v>
      </c>
      <c r="J20" s="7">
        <v>45</v>
      </c>
      <c r="K20" s="7">
        <v>20</v>
      </c>
      <c r="L20" s="7">
        <v>25</v>
      </c>
      <c r="M20" s="5" t="s">
        <v>25</v>
      </c>
      <c r="N20" s="5" t="s">
        <v>23</v>
      </c>
    </row>
    <row r="21" spans="1:14" ht="15" customHeight="1" x14ac:dyDescent="0.3">
      <c r="A21" s="5">
        <v>1020</v>
      </c>
      <c r="B21" s="6">
        <v>45394</v>
      </c>
      <c r="C21" s="5" t="s">
        <v>56</v>
      </c>
      <c r="D21" s="5" t="s">
        <v>27</v>
      </c>
      <c r="E21" s="5">
        <v>1</v>
      </c>
      <c r="F21" s="7">
        <v>60</v>
      </c>
      <c r="G21" s="5" t="s">
        <v>33</v>
      </c>
      <c r="H21" s="5" t="s">
        <v>16</v>
      </c>
      <c r="I21" s="5">
        <v>3</v>
      </c>
      <c r="J21" s="7">
        <v>60</v>
      </c>
      <c r="K21" s="7">
        <v>35</v>
      </c>
      <c r="L21" s="7">
        <v>25</v>
      </c>
      <c r="M21" s="5" t="s">
        <v>29</v>
      </c>
      <c r="N21" s="5" t="s">
        <v>18</v>
      </c>
    </row>
    <row r="22" spans="1:14" ht="15" customHeight="1" x14ac:dyDescent="0.3">
      <c r="A22" s="5">
        <v>1021</v>
      </c>
      <c r="B22" s="6">
        <v>45397</v>
      </c>
      <c r="C22" s="5" t="s">
        <v>57</v>
      </c>
      <c r="D22" s="5" t="s">
        <v>14</v>
      </c>
      <c r="E22" s="5">
        <v>4</v>
      </c>
      <c r="F22" s="7">
        <v>10</v>
      </c>
      <c r="G22" s="5" t="s">
        <v>34</v>
      </c>
      <c r="H22" s="5" t="s">
        <v>28</v>
      </c>
      <c r="I22" s="5">
        <v>5</v>
      </c>
      <c r="J22" s="7">
        <v>40</v>
      </c>
      <c r="K22" s="7">
        <v>16</v>
      </c>
      <c r="L22" s="7">
        <v>24</v>
      </c>
      <c r="M22" s="5" t="s">
        <v>22</v>
      </c>
      <c r="N22" s="5" t="s">
        <v>23</v>
      </c>
    </row>
    <row r="23" spans="1:14" ht="15" customHeight="1" x14ac:dyDescent="0.3">
      <c r="A23" s="5">
        <v>1022</v>
      </c>
      <c r="B23" s="6">
        <v>45399</v>
      </c>
      <c r="C23" s="5" t="s">
        <v>58</v>
      </c>
      <c r="D23" s="5" t="s">
        <v>19</v>
      </c>
      <c r="E23" s="5">
        <v>1</v>
      </c>
      <c r="F23" s="7">
        <v>35</v>
      </c>
      <c r="G23" s="5" t="s">
        <v>26</v>
      </c>
      <c r="H23" s="5" t="s">
        <v>21</v>
      </c>
      <c r="I23" s="5">
        <v>4</v>
      </c>
      <c r="J23" s="7">
        <v>35</v>
      </c>
      <c r="K23" s="7">
        <v>15</v>
      </c>
      <c r="L23" s="7">
        <v>20</v>
      </c>
      <c r="M23" s="5" t="s">
        <v>32</v>
      </c>
      <c r="N23" s="5" t="s">
        <v>23</v>
      </c>
    </row>
    <row r="24" spans="1:14" ht="15" customHeight="1" x14ac:dyDescent="0.3">
      <c r="A24" s="5">
        <v>1023</v>
      </c>
      <c r="B24" s="6">
        <v>45402</v>
      </c>
      <c r="C24" s="5" t="s">
        <v>59</v>
      </c>
      <c r="D24" s="5" t="s">
        <v>19</v>
      </c>
      <c r="E24" s="5">
        <v>2</v>
      </c>
      <c r="F24" s="7">
        <v>15</v>
      </c>
      <c r="G24" s="5" t="s">
        <v>31</v>
      </c>
      <c r="H24" s="5" t="s">
        <v>16</v>
      </c>
      <c r="I24" s="5">
        <v>4</v>
      </c>
      <c r="J24" s="7">
        <v>30</v>
      </c>
      <c r="K24" s="7">
        <v>12</v>
      </c>
      <c r="L24" s="7">
        <v>18</v>
      </c>
      <c r="M24" s="5" t="s">
        <v>17</v>
      </c>
      <c r="N24" s="5" t="s">
        <v>23</v>
      </c>
    </row>
    <row r="25" spans="1:14" ht="15" customHeight="1" x14ac:dyDescent="0.3">
      <c r="A25" s="5">
        <v>1024</v>
      </c>
      <c r="B25" s="6">
        <v>45404</v>
      </c>
      <c r="C25" s="5" t="s">
        <v>60</v>
      </c>
      <c r="D25" s="5" t="s">
        <v>37</v>
      </c>
      <c r="E25" s="5">
        <v>1</v>
      </c>
      <c r="F25" s="7">
        <v>18</v>
      </c>
      <c r="G25" s="5" t="s">
        <v>15</v>
      </c>
      <c r="H25" s="5" t="s">
        <v>28</v>
      </c>
      <c r="I25" s="5">
        <v>3</v>
      </c>
      <c r="J25" s="7">
        <v>18</v>
      </c>
      <c r="K25" s="7">
        <v>8</v>
      </c>
      <c r="L25" s="7">
        <v>10</v>
      </c>
      <c r="M25" s="5" t="s">
        <v>25</v>
      </c>
      <c r="N25" s="5" t="s">
        <v>23</v>
      </c>
    </row>
    <row r="26" spans="1:14" ht="15" customHeight="1" x14ac:dyDescent="0.3">
      <c r="A26" s="5">
        <v>1025</v>
      </c>
      <c r="B26" s="6">
        <v>45407</v>
      </c>
      <c r="C26" s="5" t="s">
        <v>61</v>
      </c>
      <c r="D26" s="5" t="s">
        <v>39</v>
      </c>
      <c r="E26" s="5">
        <v>1</v>
      </c>
      <c r="F26" s="7">
        <v>120</v>
      </c>
      <c r="G26" s="5" t="s">
        <v>20</v>
      </c>
      <c r="H26" s="5" t="s">
        <v>21</v>
      </c>
      <c r="I26" s="5">
        <v>5</v>
      </c>
      <c r="J26" s="7">
        <v>120</v>
      </c>
      <c r="K26" s="7">
        <v>70</v>
      </c>
      <c r="L26" s="7">
        <v>50</v>
      </c>
      <c r="M26" s="5" t="s">
        <v>29</v>
      </c>
      <c r="N26" s="5" t="s">
        <v>23</v>
      </c>
    </row>
    <row r="27" spans="1:14" ht="15" customHeight="1" x14ac:dyDescent="0.3">
      <c r="A27" s="5">
        <v>1026</v>
      </c>
      <c r="B27" s="6">
        <v>45410</v>
      </c>
      <c r="C27" s="5" t="s">
        <v>62</v>
      </c>
      <c r="D27" s="5" t="s">
        <v>39</v>
      </c>
      <c r="E27" s="5">
        <v>5</v>
      </c>
      <c r="F27" s="7">
        <v>6</v>
      </c>
      <c r="G27" s="5" t="s">
        <v>33</v>
      </c>
      <c r="H27" s="5" t="s">
        <v>16</v>
      </c>
      <c r="I27" s="5">
        <v>4</v>
      </c>
      <c r="J27" s="7">
        <v>30</v>
      </c>
      <c r="K27" s="7">
        <v>15</v>
      </c>
      <c r="L27" s="7">
        <v>15</v>
      </c>
      <c r="M27" s="5" t="s">
        <v>22</v>
      </c>
      <c r="N27" s="5" t="s">
        <v>23</v>
      </c>
    </row>
    <row r="28" spans="1:14" ht="15" customHeight="1" x14ac:dyDescent="0.3">
      <c r="A28" s="5">
        <v>1027</v>
      </c>
      <c r="B28" s="6">
        <v>45414</v>
      </c>
      <c r="C28" s="5" t="s">
        <v>63</v>
      </c>
      <c r="D28" s="5" t="s">
        <v>19</v>
      </c>
      <c r="E28" s="5">
        <v>3</v>
      </c>
      <c r="F28" s="7">
        <v>12</v>
      </c>
      <c r="G28" s="5" t="s">
        <v>34</v>
      </c>
      <c r="H28" s="5" t="s">
        <v>21</v>
      </c>
      <c r="I28" s="5">
        <v>5</v>
      </c>
      <c r="J28" s="7">
        <v>36</v>
      </c>
      <c r="K28" s="7">
        <v>15</v>
      </c>
      <c r="L28" s="7">
        <v>21</v>
      </c>
      <c r="M28" s="5" t="s">
        <v>32</v>
      </c>
      <c r="N28" s="5" t="s">
        <v>23</v>
      </c>
    </row>
    <row r="29" spans="1:14" ht="15" customHeight="1" x14ac:dyDescent="0.3">
      <c r="A29" s="5">
        <v>1028</v>
      </c>
      <c r="B29" s="6">
        <v>45417</v>
      </c>
      <c r="C29" s="5" t="s">
        <v>64</v>
      </c>
      <c r="D29" s="5" t="s">
        <v>14</v>
      </c>
      <c r="E29" s="5">
        <v>1</v>
      </c>
      <c r="F29" s="7">
        <v>30</v>
      </c>
      <c r="G29" s="5" t="s">
        <v>26</v>
      </c>
      <c r="H29" s="5" t="s">
        <v>16</v>
      </c>
      <c r="I29" s="5">
        <v>4</v>
      </c>
      <c r="J29" s="7">
        <v>30</v>
      </c>
      <c r="K29" s="7">
        <v>14</v>
      </c>
      <c r="L29" s="7">
        <v>16</v>
      </c>
      <c r="M29" s="5" t="s">
        <v>17</v>
      </c>
      <c r="N29" s="5" t="s">
        <v>18</v>
      </c>
    </row>
    <row r="30" spans="1:14" ht="15" customHeight="1" x14ac:dyDescent="0.3">
      <c r="A30" s="5">
        <v>1029</v>
      </c>
      <c r="B30" s="6">
        <v>45420</v>
      </c>
      <c r="C30" s="5" t="s">
        <v>65</v>
      </c>
      <c r="D30" s="5" t="s">
        <v>14</v>
      </c>
      <c r="E30" s="5">
        <v>2</v>
      </c>
      <c r="F30" s="7">
        <v>25</v>
      </c>
      <c r="G30" s="5" t="s">
        <v>31</v>
      </c>
      <c r="H30" s="5" t="s">
        <v>28</v>
      </c>
      <c r="I30" s="5">
        <v>5</v>
      </c>
      <c r="J30" s="7">
        <v>50</v>
      </c>
      <c r="K30" s="7">
        <v>22</v>
      </c>
      <c r="L30" s="7">
        <v>28</v>
      </c>
      <c r="M30" s="5" t="s">
        <v>25</v>
      </c>
      <c r="N30" s="5" t="s">
        <v>23</v>
      </c>
    </row>
    <row r="31" spans="1:14" ht="15" customHeight="1" x14ac:dyDescent="0.3">
      <c r="A31" s="5">
        <v>1030</v>
      </c>
      <c r="B31" s="6">
        <v>45422</v>
      </c>
      <c r="C31" s="5" t="s">
        <v>66</v>
      </c>
      <c r="D31" s="5" t="s">
        <v>19</v>
      </c>
      <c r="E31" s="5">
        <v>1</v>
      </c>
      <c r="F31" s="7">
        <v>22</v>
      </c>
      <c r="G31" s="5" t="s">
        <v>15</v>
      </c>
      <c r="H31" s="5" t="s">
        <v>21</v>
      </c>
      <c r="I31" s="5">
        <v>4</v>
      </c>
      <c r="J31" s="7">
        <v>22</v>
      </c>
      <c r="K31" s="7">
        <v>10</v>
      </c>
      <c r="L31" s="7">
        <v>12</v>
      </c>
      <c r="M31" s="5" t="s">
        <v>29</v>
      </c>
      <c r="N31" s="5" t="s">
        <v>23</v>
      </c>
    </row>
    <row r="32" spans="1:14" ht="15" customHeight="1" x14ac:dyDescent="0.3">
      <c r="A32" s="5">
        <v>1031</v>
      </c>
      <c r="B32" s="6">
        <v>45424</v>
      </c>
      <c r="C32" s="5" t="s">
        <v>67</v>
      </c>
      <c r="D32" s="5" t="s">
        <v>39</v>
      </c>
      <c r="E32" s="5">
        <v>2</v>
      </c>
      <c r="F32" s="7">
        <v>8</v>
      </c>
      <c r="G32" s="5" t="s">
        <v>20</v>
      </c>
      <c r="H32" s="5" t="s">
        <v>16</v>
      </c>
      <c r="I32" s="5">
        <v>3</v>
      </c>
      <c r="J32" s="7">
        <v>16</v>
      </c>
      <c r="K32" s="7">
        <v>6</v>
      </c>
      <c r="L32" s="7">
        <v>10</v>
      </c>
      <c r="M32" s="5" t="s">
        <v>22</v>
      </c>
      <c r="N32" s="5" t="s">
        <v>23</v>
      </c>
    </row>
    <row r="33" spans="1:14" ht="15" customHeight="1" x14ac:dyDescent="0.3">
      <c r="A33" s="5">
        <v>1032</v>
      </c>
      <c r="B33" s="6">
        <v>45427</v>
      </c>
      <c r="C33" s="5" t="s">
        <v>68</v>
      </c>
      <c r="D33" s="5" t="s">
        <v>37</v>
      </c>
      <c r="E33" s="5">
        <v>1</v>
      </c>
      <c r="F33" s="7">
        <v>28</v>
      </c>
      <c r="G33" s="5" t="s">
        <v>33</v>
      </c>
      <c r="H33" s="5" t="s">
        <v>28</v>
      </c>
      <c r="I33" s="5">
        <v>4</v>
      </c>
      <c r="J33" s="7">
        <v>28</v>
      </c>
      <c r="K33" s="7">
        <v>12</v>
      </c>
      <c r="L33" s="7">
        <v>16</v>
      </c>
      <c r="M33" s="5" t="s">
        <v>32</v>
      </c>
      <c r="N33" s="5" t="s">
        <v>23</v>
      </c>
    </row>
    <row r="34" spans="1:14" ht="15" customHeight="1" x14ac:dyDescent="0.3">
      <c r="A34" s="5">
        <v>1033</v>
      </c>
      <c r="B34" s="6">
        <v>45430</v>
      </c>
      <c r="C34" s="5" t="s">
        <v>69</v>
      </c>
      <c r="D34" s="5" t="s">
        <v>37</v>
      </c>
      <c r="E34" s="5">
        <v>1</v>
      </c>
      <c r="F34" s="7">
        <v>20</v>
      </c>
      <c r="G34" s="5" t="s">
        <v>34</v>
      </c>
      <c r="H34" s="5" t="s">
        <v>21</v>
      </c>
      <c r="I34" s="5">
        <v>5</v>
      </c>
      <c r="J34" s="7">
        <v>20</v>
      </c>
      <c r="K34" s="7">
        <v>9</v>
      </c>
      <c r="L34" s="7">
        <v>11</v>
      </c>
      <c r="M34" s="5" t="s">
        <v>17</v>
      </c>
      <c r="N34" s="5" t="s">
        <v>23</v>
      </c>
    </row>
    <row r="35" spans="1:14" ht="15" customHeight="1" x14ac:dyDescent="0.3">
      <c r="A35" s="5">
        <v>1034</v>
      </c>
      <c r="B35" s="6">
        <v>45432</v>
      </c>
      <c r="C35" s="5" t="s">
        <v>70</v>
      </c>
      <c r="D35" s="5" t="s">
        <v>39</v>
      </c>
      <c r="E35" s="5">
        <v>1</v>
      </c>
      <c r="F35" s="7">
        <v>150</v>
      </c>
      <c r="G35" s="5" t="s">
        <v>26</v>
      </c>
      <c r="H35" s="5" t="s">
        <v>16</v>
      </c>
      <c r="I35" s="5">
        <v>4</v>
      </c>
      <c r="J35" s="7">
        <v>150</v>
      </c>
      <c r="K35" s="7">
        <v>90</v>
      </c>
      <c r="L35" s="7">
        <v>60</v>
      </c>
      <c r="M35" s="5" t="s">
        <v>25</v>
      </c>
      <c r="N35" s="5" t="s">
        <v>23</v>
      </c>
    </row>
    <row r="36" spans="1:14" ht="15" customHeight="1" x14ac:dyDescent="0.3">
      <c r="A36" s="5">
        <v>1035</v>
      </c>
      <c r="B36" s="6">
        <v>45434</v>
      </c>
      <c r="C36" s="5" t="s">
        <v>71</v>
      </c>
      <c r="D36" s="5" t="s">
        <v>39</v>
      </c>
      <c r="E36" s="5">
        <v>1</v>
      </c>
      <c r="F36" s="7">
        <v>300</v>
      </c>
      <c r="G36" s="5" t="s">
        <v>31</v>
      </c>
      <c r="H36" s="5" t="s">
        <v>21</v>
      </c>
      <c r="I36" s="5">
        <v>5</v>
      </c>
      <c r="J36" s="7">
        <v>300</v>
      </c>
      <c r="K36" s="7">
        <v>180</v>
      </c>
      <c r="L36" s="7">
        <v>120</v>
      </c>
      <c r="M36" s="5" t="s">
        <v>29</v>
      </c>
      <c r="N36" s="5" t="s">
        <v>23</v>
      </c>
    </row>
    <row r="37" spans="1:14" ht="15" customHeight="1" x14ac:dyDescent="0.3">
      <c r="A37" s="5">
        <v>1036</v>
      </c>
      <c r="B37" s="6">
        <v>45437</v>
      </c>
      <c r="C37" s="5" t="s">
        <v>72</v>
      </c>
      <c r="D37" s="5" t="s">
        <v>19</v>
      </c>
      <c r="E37" s="5">
        <v>1</v>
      </c>
      <c r="F37" s="7">
        <v>85</v>
      </c>
      <c r="G37" s="5" t="s">
        <v>15</v>
      </c>
      <c r="H37" s="5" t="s">
        <v>28</v>
      </c>
      <c r="I37" s="5">
        <v>4</v>
      </c>
      <c r="J37" s="7">
        <v>85</v>
      </c>
      <c r="K37" s="7">
        <v>45</v>
      </c>
      <c r="L37" s="7">
        <v>40</v>
      </c>
      <c r="M37" s="5" t="s">
        <v>22</v>
      </c>
      <c r="N37" s="5" t="s">
        <v>23</v>
      </c>
    </row>
    <row r="38" spans="1:14" ht="15" customHeight="1" x14ac:dyDescent="0.3">
      <c r="A38" s="5">
        <v>1037</v>
      </c>
      <c r="B38" s="6">
        <v>45440</v>
      </c>
      <c r="C38" s="5" t="s">
        <v>73</v>
      </c>
      <c r="D38" s="5" t="s">
        <v>19</v>
      </c>
      <c r="E38" s="5">
        <v>1</v>
      </c>
      <c r="F38" s="7">
        <v>50</v>
      </c>
      <c r="G38" s="5" t="s">
        <v>20</v>
      </c>
      <c r="H38" s="5" t="s">
        <v>16</v>
      </c>
      <c r="I38" s="5">
        <v>4</v>
      </c>
      <c r="J38" s="7">
        <v>50</v>
      </c>
      <c r="K38" s="7">
        <v>25</v>
      </c>
      <c r="L38" s="7">
        <v>25</v>
      </c>
      <c r="M38" s="5" t="s">
        <v>32</v>
      </c>
      <c r="N38" s="5" t="s">
        <v>18</v>
      </c>
    </row>
    <row r="39" spans="1:14" ht="15" customHeight="1" x14ac:dyDescent="0.3">
      <c r="A39" s="5">
        <v>1038</v>
      </c>
      <c r="B39" s="6">
        <v>45442</v>
      </c>
      <c r="C39" s="5" t="s">
        <v>74</v>
      </c>
      <c r="D39" s="5" t="s">
        <v>14</v>
      </c>
      <c r="E39" s="5">
        <v>1</v>
      </c>
      <c r="F39" s="7">
        <v>40</v>
      </c>
      <c r="G39" s="5" t="s">
        <v>33</v>
      </c>
      <c r="H39" s="5" t="s">
        <v>21</v>
      </c>
      <c r="I39" s="5">
        <v>5</v>
      </c>
      <c r="J39" s="7">
        <v>40</v>
      </c>
      <c r="K39" s="7">
        <v>18</v>
      </c>
      <c r="L39" s="7">
        <v>22</v>
      </c>
      <c r="M39" s="5" t="s">
        <v>17</v>
      </c>
      <c r="N39" s="5" t="s">
        <v>23</v>
      </c>
    </row>
    <row r="40" spans="1:14" ht="15" customHeight="1" x14ac:dyDescent="0.3">
      <c r="A40" s="5">
        <v>1039</v>
      </c>
      <c r="B40" s="6">
        <v>45445</v>
      </c>
      <c r="C40" s="5" t="s">
        <v>75</v>
      </c>
      <c r="D40" s="5" t="s">
        <v>14</v>
      </c>
      <c r="E40" s="5">
        <v>2</v>
      </c>
      <c r="F40" s="7">
        <v>35</v>
      </c>
      <c r="G40" s="5" t="s">
        <v>34</v>
      </c>
      <c r="H40" s="5" t="s">
        <v>28</v>
      </c>
      <c r="I40" s="5">
        <v>4</v>
      </c>
      <c r="J40" s="7">
        <v>70</v>
      </c>
      <c r="K40" s="7">
        <v>30</v>
      </c>
      <c r="L40" s="7">
        <v>40</v>
      </c>
      <c r="M40" s="5" t="s">
        <v>25</v>
      </c>
      <c r="N40" s="5" t="s">
        <v>23</v>
      </c>
    </row>
    <row r="41" spans="1:14" ht="15" customHeight="1" x14ac:dyDescent="0.3">
      <c r="A41" s="5">
        <v>1040</v>
      </c>
      <c r="B41" s="6">
        <v>45448</v>
      </c>
      <c r="C41" s="5" t="s">
        <v>76</v>
      </c>
      <c r="D41" s="5" t="s">
        <v>24</v>
      </c>
      <c r="E41" s="5">
        <v>1</v>
      </c>
      <c r="F41" s="7">
        <v>130</v>
      </c>
      <c r="G41" s="5" t="s">
        <v>26</v>
      </c>
      <c r="H41" s="5" t="s">
        <v>16</v>
      </c>
      <c r="I41" s="5">
        <v>5</v>
      </c>
      <c r="J41" s="7">
        <v>130</v>
      </c>
      <c r="K41" s="7">
        <v>80</v>
      </c>
      <c r="L41" s="7">
        <v>50</v>
      </c>
      <c r="M41" s="5" t="s">
        <v>29</v>
      </c>
      <c r="N41" s="5" t="s">
        <v>23</v>
      </c>
    </row>
  </sheetData>
  <autoFilter ref="A1:N41" xr:uid="{00000000-0009-0000-0000-000000000000}">
    <sortState xmlns:xlrd2="http://schemas.microsoft.com/office/spreadsheetml/2017/richdata2" ref="A2:N41">
      <sortCondition ref="A1:A4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B220-2111-8B47-BD0C-CFE8027A0351}">
  <dimension ref="A1:D9"/>
  <sheetViews>
    <sheetView zoomScale="275" zoomScaleNormal="275" workbookViewId="0">
      <selection activeCell="B1" sqref="B1"/>
    </sheetView>
  </sheetViews>
  <sheetFormatPr baseColWidth="10" defaultRowHeight="14.4" x14ac:dyDescent="0.3"/>
  <cols>
    <col min="1" max="1" width="19" customWidth="1"/>
    <col min="3" max="3" width="28.109375" customWidth="1"/>
  </cols>
  <sheetData>
    <row r="1" spans="1:4" x14ac:dyDescent="0.3">
      <c r="A1" s="4" t="s">
        <v>35</v>
      </c>
      <c r="B1" t="s">
        <v>39</v>
      </c>
    </row>
    <row r="3" spans="1:4" x14ac:dyDescent="0.3">
      <c r="A3" t="str" cm="1">
        <f t="array" ref="A3:D9">_xlfn.CHOOSECOLS(_xlfn._xlws.FILTER(Datos!A:N,Datos!D:D=Venta_por_categoria!B1),3,4,5,10)</f>
        <v>Raqueta de Pádel</v>
      </c>
      <c r="B3" t="str">
        <v>Deportes</v>
      </c>
      <c r="C3">
        <v>1</v>
      </c>
      <c r="D3">
        <v>85</v>
      </c>
    </row>
    <row r="4" spans="1:4" x14ac:dyDescent="0.3">
      <c r="A4" t="str">
        <v>Balón de Fútbol</v>
      </c>
      <c r="B4" t="str">
        <v>Deportes</v>
      </c>
      <c r="C4">
        <v>4</v>
      </c>
      <c r="D4">
        <v>80</v>
      </c>
    </row>
    <row r="5" spans="1:4" x14ac:dyDescent="0.3">
      <c r="A5" t="str">
        <v>Raqueta de Tenis</v>
      </c>
      <c r="B5" t="str">
        <v>Deportes</v>
      </c>
      <c r="C5">
        <v>1</v>
      </c>
      <c r="D5">
        <v>120</v>
      </c>
    </row>
    <row r="6" spans="1:4" x14ac:dyDescent="0.3">
      <c r="A6" t="str">
        <v>Bote Pelotas Pádel (Pack 3)</v>
      </c>
      <c r="B6" t="str">
        <v>Deportes</v>
      </c>
      <c r="C6">
        <v>5</v>
      </c>
      <c r="D6">
        <v>30</v>
      </c>
    </row>
    <row r="7" spans="1:4" x14ac:dyDescent="0.3">
      <c r="A7" t="str">
        <v>Muñequeras de Pádel</v>
      </c>
      <c r="B7" t="str">
        <v>Deportes</v>
      </c>
      <c r="C7">
        <v>2</v>
      </c>
      <c r="D7">
        <v>16</v>
      </c>
    </row>
    <row r="8" spans="1:4" x14ac:dyDescent="0.3">
      <c r="A8" t="str">
        <v>Neopreno Surf</v>
      </c>
      <c r="B8" t="str">
        <v>Deportes</v>
      </c>
      <c r="C8">
        <v>1</v>
      </c>
      <c r="D8">
        <v>150</v>
      </c>
    </row>
    <row r="9" spans="1:4" x14ac:dyDescent="0.3">
      <c r="A9" t="str">
        <v>Tabla de Paddle Surf</v>
      </c>
      <c r="B9" t="str">
        <v>Deportes</v>
      </c>
      <c r="C9">
        <v>1</v>
      </c>
      <c r="D9">
        <v>300</v>
      </c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9CD5CD-FB3F-D945-A974-C4BB68786EFF}">
          <x14:formula1>
            <xm:f>Datos!$D:$D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2EEC-5AE1-FE41-8602-29A24AD005C2}">
  <dimension ref="A1:P10"/>
  <sheetViews>
    <sheetView zoomScale="150" zoomScaleNormal="150" workbookViewId="0">
      <selection activeCell="W19" sqref="W19"/>
    </sheetView>
  </sheetViews>
  <sheetFormatPr baseColWidth="10" defaultRowHeight="14.4" x14ac:dyDescent="0.3"/>
  <cols>
    <col min="3" max="3" width="17.109375" hidden="1" customWidth="1"/>
    <col min="4" max="4" width="0" hidden="1" customWidth="1"/>
    <col min="5" max="5" width="29.77734375" customWidth="1"/>
    <col min="6" max="6" width="0" hidden="1" customWidth="1"/>
    <col min="8" max="16" width="0" hidden="1" customWidth="1"/>
  </cols>
  <sheetData>
    <row r="1" spans="1:16" x14ac:dyDescent="0.3">
      <c r="A1" s="4" t="s">
        <v>35</v>
      </c>
      <c r="B1" t="s">
        <v>39</v>
      </c>
    </row>
    <row r="4" spans="1:16" x14ac:dyDescent="0.3">
      <c r="C4" cm="1">
        <f t="array" ref="C4:P10">_xlfn._xlws.FILTER(Datos!A:N,Datos!D:D='venta por_categoria2'!B1)</f>
        <v>1003</v>
      </c>
      <c r="D4">
        <v>45354</v>
      </c>
      <c r="E4" t="str">
        <v>Raqueta de Pádel</v>
      </c>
      <c r="F4" t="str">
        <v>Deportes</v>
      </c>
      <c r="G4">
        <v>1</v>
      </c>
      <c r="H4">
        <v>85</v>
      </c>
      <c r="I4" t="str">
        <v>Valencia</v>
      </c>
      <c r="J4" t="str">
        <v>Tienda</v>
      </c>
      <c r="K4">
        <v>4</v>
      </c>
      <c r="L4">
        <v>85</v>
      </c>
      <c r="M4">
        <v>45</v>
      </c>
      <c r="N4">
        <v>40</v>
      </c>
      <c r="O4" t="str">
        <v>Carlos López</v>
      </c>
      <c r="P4" t="str">
        <v>No</v>
      </c>
    </row>
    <row r="5" spans="1:16" x14ac:dyDescent="0.3">
      <c r="C5">
        <v>1013</v>
      </c>
      <c r="D5">
        <v>45378</v>
      </c>
      <c r="E5" t="str">
        <v>Balón de Fútbol</v>
      </c>
      <c r="F5" t="str">
        <v>Deportes</v>
      </c>
      <c r="G5">
        <v>4</v>
      </c>
      <c r="H5">
        <v>20</v>
      </c>
      <c r="I5" t="str">
        <v>Sevilla</v>
      </c>
      <c r="J5" t="str">
        <v>Tienda</v>
      </c>
      <c r="K5">
        <v>4</v>
      </c>
      <c r="L5">
        <v>80</v>
      </c>
      <c r="M5">
        <v>32</v>
      </c>
      <c r="N5">
        <v>48</v>
      </c>
      <c r="O5" t="str">
        <v>Carlos López</v>
      </c>
      <c r="P5" t="str">
        <v>No</v>
      </c>
    </row>
    <row r="6" spans="1:16" x14ac:dyDescent="0.3">
      <c r="C6">
        <v>1025</v>
      </c>
      <c r="D6">
        <v>45407</v>
      </c>
      <c r="E6" t="str">
        <v>Raqueta de Tenis</v>
      </c>
      <c r="F6" t="str">
        <v>Deportes</v>
      </c>
      <c r="G6">
        <v>1</v>
      </c>
      <c r="H6">
        <v>120</v>
      </c>
      <c r="I6" t="str">
        <v>Sevilla</v>
      </c>
      <c r="J6" t="str">
        <v>Tienda</v>
      </c>
      <c r="K6">
        <v>5</v>
      </c>
      <c r="L6">
        <v>120</v>
      </c>
      <c r="M6">
        <v>70</v>
      </c>
      <c r="N6">
        <v>50</v>
      </c>
      <c r="O6" t="str">
        <v>Marta Fernández</v>
      </c>
      <c r="P6" t="str">
        <v>No</v>
      </c>
    </row>
    <row r="7" spans="1:16" x14ac:dyDescent="0.3">
      <c r="C7">
        <v>1026</v>
      </c>
      <c r="D7">
        <v>45410</v>
      </c>
      <c r="E7" t="str">
        <v>Bote Pelotas Pádel (Pack 3)</v>
      </c>
      <c r="F7" t="str">
        <v>Deportes</v>
      </c>
      <c r="G7">
        <v>5</v>
      </c>
      <c r="H7">
        <v>6</v>
      </c>
      <c r="I7" t="str">
        <v>Bilbao</v>
      </c>
      <c r="J7" t="str">
        <v>Web</v>
      </c>
      <c r="K7">
        <v>4</v>
      </c>
      <c r="L7">
        <v>30</v>
      </c>
      <c r="M7">
        <v>15</v>
      </c>
      <c r="N7">
        <v>15</v>
      </c>
      <c r="O7" t="str">
        <v>Ana García</v>
      </c>
      <c r="P7" t="str">
        <v>No</v>
      </c>
    </row>
    <row r="8" spans="1:16" x14ac:dyDescent="0.3">
      <c r="C8">
        <v>1031</v>
      </c>
      <c r="D8">
        <v>45424</v>
      </c>
      <c r="E8" t="str">
        <v>Muñequeras de Pádel</v>
      </c>
      <c r="F8" t="str">
        <v>Deportes</v>
      </c>
      <c r="G8">
        <v>2</v>
      </c>
      <c r="H8">
        <v>8</v>
      </c>
      <c r="I8" t="str">
        <v>Sevilla</v>
      </c>
      <c r="J8" t="str">
        <v>Web</v>
      </c>
      <c r="K8">
        <v>3</v>
      </c>
      <c r="L8">
        <v>16</v>
      </c>
      <c r="M8">
        <v>6</v>
      </c>
      <c r="N8">
        <v>10</v>
      </c>
      <c r="O8" t="str">
        <v>Ana García</v>
      </c>
      <c r="P8" t="str">
        <v>No</v>
      </c>
    </row>
    <row r="9" spans="1:16" x14ac:dyDescent="0.3">
      <c r="C9">
        <v>1034</v>
      </c>
      <c r="D9">
        <v>45432</v>
      </c>
      <c r="E9" t="str">
        <v>Neopreno Surf</v>
      </c>
      <c r="F9" t="str">
        <v>Deportes</v>
      </c>
      <c r="G9">
        <v>1</v>
      </c>
      <c r="H9">
        <v>150</v>
      </c>
      <c r="I9" t="str">
        <v>Madrid</v>
      </c>
      <c r="J9" t="str">
        <v>Web</v>
      </c>
      <c r="K9">
        <v>4</v>
      </c>
      <c r="L9">
        <v>150</v>
      </c>
      <c r="M9">
        <v>90</v>
      </c>
      <c r="N9">
        <v>60</v>
      </c>
      <c r="O9" t="str">
        <v>Laura Martínez</v>
      </c>
      <c r="P9" t="str">
        <v>No</v>
      </c>
    </row>
    <row r="10" spans="1:16" x14ac:dyDescent="0.3">
      <c r="C10">
        <v>1035</v>
      </c>
      <c r="D10">
        <v>45434</v>
      </c>
      <c r="E10" t="str">
        <v>Tabla de Paddle Surf</v>
      </c>
      <c r="F10" t="str">
        <v>Deportes</v>
      </c>
      <c r="G10">
        <v>1</v>
      </c>
      <c r="H10">
        <v>300</v>
      </c>
      <c r="I10" t="str">
        <v>Barcelona</v>
      </c>
      <c r="J10" t="str">
        <v>Tienda</v>
      </c>
      <c r="K10">
        <v>5</v>
      </c>
      <c r="L10">
        <v>300</v>
      </c>
      <c r="M10">
        <v>180</v>
      </c>
      <c r="N10">
        <v>120</v>
      </c>
      <c r="O10" t="str">
        <v>Marta Fernández</v>
      </c>
      <c r="P10" t="str">
        <v>No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43D7F-87AB-114F-87B9-64DD39376194}">
          <x14:formula1>
            <xm:f>Datos!$D:$D</xm:f>
          </x14:formula1>
          <xm:sqref>B1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CDD7-1DAE-43A1-8359-E394AD042E64}">
  <dimension ref="A1:R41"/>
  <sheetViews>
    <sheetView tabSelected="1" topLeftCell="H1" workbookViewId="0">
      <selection activeCell="X24" sqref="X24"/>
    </sheetView>
  </sheetViews>
  <sheetFormatPr baseColWidth="10" defaultRowHeight="14.4" x14ac:dyDescent="0.3"/>
  <cols>
    <col min="1" max="1" width="11" hidden="1" customWidth="1"/>
    <col min="2" max="2" width="10.5546875" hidden="1" customWidth="1"/>
    <col min="3" max="3" width="23.21875" hidden="1" customWidth="1"/>
    <col min="4" max="4" width="11.21875" hidden="1" customWidth="1"/>
    <col min="5" max="5" width="11.109375" hidden="1" customWidth="1"/>
    <col min="6" max="6" width="16.21875" hidden="1" customWidth="1"/>
    <col min="7" max="7" width="9.21875" hidden="1" customWidth="1"/>
    <col min="8" max="8" width="7.88671875" bestFit="1" customWidth="1"/>
    <col min="9" max="9" width="12.21875" hidden="1" customWidth="1"/>
    <col min="10" max="10" width="10.21875" hidden="1" customWidth="1"/>
    <col min="11" max="11" width="7.88671875" hidden="1" customWidth="1"/>
    <col min="12" max="12" width="11" bestFit="1" customWidth="1"/>
    <col min="13" max="13" width="14.77734375" hidden="1" customWidth="1"/>
    <col min="14" max="14" width="12.6640625" hidden="1" customWidth="1"/>
    <col min="18" max="18" width="20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Q1" t="s">
        <v>7</v>
      </c>
      <c r="R1" t="s">
        <v>11</v>
      </c>
    </row>
    <row r="2" spans="1:18" x14ac:dyDescent="0.3">
      <c r="A2">
        <v>1001</v>
      </c>
      <c r="B2" s="8">
        <v>45352</v>
      </c>
      <c r="C2" s="9" t="s">
        <v>30</v>
      </c>
      <c r="D2" s="9" t="s">
        <v>19</v>
      </c>
      <c r="E2">
        <v>1</v>
      </c>
      <c r="F2">
        <v>25.5</v>
      </c>
      <c r="G2" s="9" t="s">
        <v>26</v>
      </c>
      <c r="H2" s="9" t="s">
        <v>28</v>
      </c>
      <c r="I2">
        <v>4</v>
      </c>
      <c r="J2">
        <v>25.5</v>
      </c>
      <c r="K2">
        <v>10</v>
      </c>
      <c r="L2">
        <v>4</v>
      </c>
      <c r="M2" s="9" t="s">
        <v>22</v>
      </c>
      <c r="N2" s="9" t="s">
        <v>23</v>
      </c>
      <c r="Q2" t="s">
        <v>28</v>
      </c>
      <c r="R2">
        <f>SUMIF(H:H,Q2,L:L)</f>
        <v>263</v>
      </c>
    </row>
    <row r="3" spans="1:18" x14ac:dyDescent="0.3">
      <c r="A3">
        <v>1002</v>
      </c>
      <c r="B3" s="8">
        <v>45353</v>
      </c>
      <c r="C3" s="9" t="s">
        <v>36</v>
      </c>
      <c r="D3" s="9" t="s">
        <v>37</v>
      </c>
      <c r="E3">
        <v>2</v>
      </c>
      <c r="F3">
        <v>18</v>
      </c>
      <c r="G3" s="9" t="s">
        <v>31</v>
      </c>
      <c r="H3" s="9" t="s">
        <v>16</v>
      </c>
      <c r="I3">
        <v>5</v>
      </c>
      <c r="J3">
        <v>36</v>
      </c>
      <c r="K3">
        <v>14</v>
      </c>
      <c r="L3">
        <v>22</v>
      </c>
      <c r="M3" s="9" t="s">
        <v>32</v>
      </c>
      <c r="N3" s="9" t="s">
        <v>23</v>
      </c>
      <c r="Q3" t="s">
        <v>16</v>
      </c>
      <c r="R3">
        <f t="shared" ref="R3:R4" si="0">SUMIF(H:H,Q3,L:L)</f>
        <v>495</v>
      </c>
    </row>
    <row r="4" spans="1:18" x14ac:dyDescent="0.3">
      <c r="A4">
        <v>1003</v>
      </c>
      <c r="B4" s="8">
        <v>45354</v>
      </c>
      <c r="C4" s="9" t="s">
        <v>38</v>
      </c>
      <c r="D4" s="9" t="s">
        <v>39</v>
      </c>
      <c r="E4">
        <v>1</v>
      </c>
      <c r="F4">
        <v>85</v>
      </c>
      <c r="G4" s="9" t="s">
        <v>15</v>
      </c>
      <c r="H4" s="9" t="s">
        <v>21</v>
      </c>
      <c r="I4">
        <v>4</v>
      </c>
      <c r="J4">
        <v>85</v>
      </c>
      <c r="K4">
        <v>45</v>
      </c>
      <c r="L4">
        <v>40</v>
      </c>
      <c r="M4" s="9" t="s">
        <v>17</v>
      </c>
      <c r="N4" s="9" t="s">
        <v>23</v>
      </c>
      <c r="Q4" t="s">
        <v>21</v>
      </c>
      <c r="R4">
        <f t="shared" si="0"/>
        <v>496</v>
      </c>
    </row>
    <row r="5" spans="1:18" x14ac:dyDescent="0.3">
      <c r="A5">
        <v>1004</v>
      </c>
      <c r="B5" s="8">
        <v>45356</v>
      </c>
      <c r="C5" s="9" t="s">
        <v>40</v>
      </c>
      <c r="D5" s="9" t="s">
        <v>24</v>
      </c>
      <c r="E5">
        <v>1</v>
      </c>
      <c r="F5">
        <v>110</v>
      </c>
      <c r="G5" s="9" t="s">
        <v>20</v>
      </c>
      <c r="H5" s="9" t="s">
        <v>16</v>
      </c>
      <c r="I5">
        <v>5</v>
      </c>
      <c r="J5">
        <v>110</v>
      </c>
      <c r="K5">
        <v>60</v>
      </c>
      <c r="L5">
        <v>50</v>
      </c>
      <c r="M5" s="9" t="s">
        <v>25</v>
      </c>
      <c r="N5" s="9" t="s">
        <v>18</v>
      </c>
    </row>
    <row r="6" spans="1:18" x14ac:dyDescent="0.3">
      <c r="A6">
        <v>1005</v>
      </c>
      <c r="B6" s="8">
        <v>45358</v>
      </c>
      <c r="C6" s="9" t="s">
        <v>41</v>
      </c>
      <c r="D6" s="9" t="s">
        <v>37</v>
      </c>
      <c r="E6">
        <v>1</v>
      </c>
      <c r="F6">
        <v>35</v>
      </c>
      <c r="G6" s="9" t="s">
        <v>33</v>
      </c>
      <c r="H6" s="9" t="s">
        <v>21</v>
      </c>
      <c r="I6">
        <v>4</v>
      </c>
      <c r="J6">
        <v>35</v>
      </c>
      <c r="K6">
        <v>15</v>
      </c>
      <c r="L6">
        <v>20</v>
      </c>
      <c r="M6" s="9" t="s">
        <v>29</v>
      </c>
      <c r="N6" s="9" t="s">
        <v>23</v>
      </c>
    </row>
    <row r="7" spans="1:18" x14ac:dyDescent="0.3">
      <c r="A7">
        <v>1006</v>
      </c>
      <c r="B7" s="8">
        <v>45361</v>
      </c>
      <c r="C7" s="9" t="s">
        <v>42</v>
      </c>
      <c r="D7" s="9" t="s">
        <v>27</v>
      </c>
      <c r="E7">
        <v>1</v>
      </c>
      <c r="F7">
        <v>250</v>
      </c>
      <c r="G7" s="9" t="s">
        <v>26</v>
      </c>
      <c r="H7" s="9" t="s">
        <v>16</v>
      </c>
      <c r="I7">
        <v>5</v>
      </c>
      <c r="J7">
        <v>250</v>
      </c>
      <c r="K7">
        <v>180</v>
      </c>
      <c r="L7">
        <v>70</v>
      </c>
      <c r="M7" s="9" t="s">
        <v>22</v>
      </c>
      <c r="N7" s="9" t="s">
        <v>23</v>
      </c>
    </row>
    <row r="8" spans="1:18" x14ac:dyDescent="0.3">
      <c r="A8">
        <v>1007</v>
      </c>
      <c r="B8" s="8">
        <v>45363</v>
      </c>
      <c r="C8" s="9" t="s">
        <v>43</v>
      </c>
      <c r="D8" s="9" t="s">
        <v>19</v>
      </c>
      <c r="E8">
        <v>1</v>
      </c>
      <c r="F8">
        <v>45</v>
      </c>
      <c r="G8" s="9" t="s">
        <v>31</v>
      </c>
      <c r="H8" s="9" t="s">
        <v>28</v>
      </c>
      <c r="I8">
        <v>3</v>
      </c>
      <c r="J8">
        <v>45</v>
      </c>
      <c r="K8">
        <v>20</v>
      </c>
      <c r="L8">
        <v>25</v>
      </c>
      <c r="M8" s="9" t="s">
        <v>32</v>
      </c>
      <c r="N8" s="9" t="s">
        <v>23</v>
      </c>
    </row>
    <row r="9" spans="1:18" x14ac:dyDescent="0.3">
      <c r="A9">
        <v>1008</v>
      </c>
      <c r="B9" s="8">
        <v>45366</v>
      </c>
      <c r="C9" s="9" t="s">
        <v>44</v>
      </c>
      <c r="D9" s="9" t="s">
        <v>19</v>
      </c>
      <c r="E9">
        <v>3</v>
      </c>
      <c r="F9">
        <v>15</v>
      </c>
      <c r="G9" s="9" t="s">
        <v>15</v>
      </c>
      <c r="H9" s="9" t="s">
        <v>21</v>
      </c>
      <c r="I9">
        <v>4</v>
      </c>
      <c r="J9">
        <v>45</v>
      </c>
      <c r="K9">
        <v>18</v>
      </c>
      <c r="L9">
        <v>27</v>
      </c>
      <c r="M9" s="9" t="s">
        <v>17</v>
      </c>
      <c r="N9" s="9" t="s">
        <v>23</v>
      </c>
    </row>
    <row r="10" spans="1:18" x14ac:dyDescent="0.3">
      <c r="A10">
        <v>1009</v>
      </c>
      <c r="B10" s="8">
        <v>45369</v>
      </c>
      <c r="C10" s="9" t="s">
        <v>45</v>
      </c>
      <c r="D10" s="9" t="s">
        <v>37</v>
      </c>
      <c r="E10">
        <v>1</v>
      </c>
      <c r="F10">
        <v>90</v>
      </c>
      <c r="G10" s="9" t="s">
        <v>34</v>
      </c>
      <c r="H10" s="9" t="s">
        <v>16</v>
      </c>
      <c r="I10">
        <v>5</v>
      </c>
      <c r="J10">
        <v>90</v>
      </c>
      <c r="K10">
        <v>50</v>
      </c>
      <c r="L10">
        <v>40</v>
      </c>
      <c r="M10" s="9" t="s">
        <v>25</v>
      </c>
      <c r="N10" s="9" t="s">
        <v>23</v>
      </c>
    </row>
    <row r="11" spans="1:18" x14ac:dyDescent="0.3">
      <c r="A11">
        <v>1010</v>
      </c>
      <c r="B11" s="8">
        <v>45371</v>
      </c>
      <c r="C11" s="9" t="s">
        <v>46</v>
      </c>
      <c r="D11" s="9" t="s">
        <v>19</v>
      </c>
      <c r="E11">
        <v>2</v>
      </c>
      <c r="F11">
        <v>65</v>
      </c>
      <c r="G11" s="9" t="s">
        <v>33</v>
      </c>
      <c r="H11" s="9" t="s">
        <v>21</v>
      </c>
      <c r="I11">
        <v>4</v>
      </c>
      <c r="J11">
        <v>130</v>
      </c>
      <c r="K11">
        <v>70</v>
      </c>
      <c r="L11">
        <v>60</v>
      </c>
      <c r="M11" s="9" t="s">
        <v>29</v>
      </c>
      <c r="N11" s="9" t="s">
        <v>23</v>
      </c>
    </row>
    <row r="12" spans="1:18" x14ac:dyDescent="0.3">
      <c r="A12">
        <v>1011</v>
      </c>
      <c r="B12" s="8">
        <v>45373</v>
      </c>
      <c r="C12" s="9" t="s">
        <v>47</v>
      </c>
      <c r="D12" s="9" t="s">
        <v>14</v>
      </c>
      <c r="E12">
        <v>1</v>
      </c>
      <c r="F12">
        <v>28</v>
      </c>
      <c r="G12" s="9" t="s">
        <v>26</v>
      </c>
      <c r="H12" s="9" t="s">
        <v>28</v>
      </c>
      <c r="I12">
        <v>5</v>
      </c>
      <c r="J12">
        <v>28</v>
      </c>
      <c r="K12">
        <v>12</v>
      </c>
      <c r="L12">
        <v>30</v>
      </c>
      <c r="M12" s="9" t="s">
        <v>22</v>
      </c>
      <c r="N12" s="9" t="s">
        <v>23</v>
      </c>
    </row>
    <row r="13" spans="1:18" x14ac:dyDescent="0.3">
      <c r="A13">
        <v>1012</v>
      </c>
      <c r="B13" s="8">
        <v>45376</v>
      </c>
      <c r="C13" s="9" t="s">
        <v>48</v>
      </c>
      <c r="D13" s="9" t="s">
        <v>27</v>
      </c>
      <c r="E13">
        <v>1</v>
      </c>
      <c r="F13">
        <v>55</v>
      </c>
      <c r="G13" s="9" t="s">
        <v>31</v>
      </c>
      <c r="H13" s="9" t="s">
        <v>16</v>
      </c>
      <c r="I13">
        <v>2</v>
      </c>
      <c r="J13">
        <v>55</v>
      </c>
      <c r="K13">
        <v>25</v>
      </c>
      <c r="L13">
        <v>30</v>
      </c>
      <c r="M13" s="9" t="s">
        <v>32</v>
      </c>
      <c r="N13" s="9" t="s">
        <v>18</v>
      </c>
    </row>
    <row r="14" spans="1:18" x14ac:dyDescent="0.3">
      <c r="A14">
        <v>1013</v>
      </c>
      <c r="B14" s="8">
        <v>45378</v>
      </c>
      <c r="C14" s="9" t="s">
        <v>49</v>
      </c>
      <c r="D14" s="9" t="s">
        <v>39</v>
      </c>
      <c r="E14">
        <v>4</v>
      </c>
      <c r="F14">
        <v>20</v>
      </c>
      <c r="G14" s="9" t="s">
        <v>20</v>
      </c>
      <c r="H14" s="9" t="s">
        <v>21</v>
      </c>
      <c r="I14">
        <v>4</v>
      </c>
      <c r="J14">
        <v>80</v>
      </c>
      <c r="K14">
        <v>32</v>
      </c>
      <c r="L14">
        <v>48</v>
      </c>
      <c r="M14" s="9" t="s">
        <v>17</v>
      </c>
      <c r="N14" s="9" t="s">
        <v>23</v>
      </c>
    </row>
    <row r="15" spans="1:18" x14ac:dyDescent="0.3">
      <c r="A15">
        <v>1014</v>
      </c>
      <c r="B15" s="8">
        <v>45380</v>
      </c>
      <c r="C15" s="9" t="s">
        <v>50</v>
      </c>
      <c r="D15" s="9" t="s">
        <v>14</v>
      </c>
      <c r="E15">
        <v>1</v>
      </c>
      <c r="F15">
        <v>42</v>
      </c>
      <c r="G15" s="9" t="s">
        <v>15</v>
      </c>
      <c r="H15" s="9" t="s">
        <v>16</v>
      </c>
      <c r="I15">
        <v>4</v>
      </c>
      <c r="J15">
        <v>42</v>
      </c>
      <c r="K15">
        <v>18</v>
      </c>
      <c r="L15">
        <v>24</v>
      </c>
      <c r="M15" s="9" t="s">
        <v>25</v>
      </c>
      <c r="N15" s="9" t="s">
        <v>23</v>
      </c>
    </row>
    <row r="16" spans="1:18" x14ac:dyDescent="0.3">
      <c r="A16">
        <v>1015</v>
      </c>
      <c r="B16" s="8">
        <v>45381</v>
      </c>
      <c r="C16" s="9" t="s">
        <v>51</v>
      </c>
      <c r="D16" s="9" t="s">
        <v>37</v>
      </c>
      <c r="E16">
        <v>5</v>
      </c>
      <c r="F16">
        <v>8</v>
      </c>
      <c r="G16" s="9" t="s">
        <v>34</v>
      </c>
      <c r="H16" s="9" t="s">
        <v>28</v>
      </c>
      <c r="I16">
        <v>5</v>
      </c>
      <c r="J16">
        <v>40</v>
      </c>
      <c r="K16">
        <v>15</v>
      </c>
      <c r="L16">
        <v>25</v>
      </c>
      <c r="M16" s="9" t="s">
        <v>29</v>
      </c>
      <c r="N16" s="9" t="s">
        <v>23</v>
      </c>
    </row>
    <row r="17" spans="1:14" x14ac:dyDescent="0.3">
      <c r="A17">
        <v>1016</v>
      </c>
      <c r="B17" s="8">
        <v>45384</v>
      </c>
      <c r="C17" s="9" t="s">
        <v>52</v>
      </c>
      <c r="D17" s="9" t="s">
        <v>37</v>
      </c>
      <c r="E17">
        <v>3</v>
      </c>
      <c r="F17">
        <v>12</v>
      </c>
      <c r="G17" s="9" t="s">
        <v>26</v>
      </c>
      <c r="H17" s="9" t="s">
        <v>28</v>
      </c>
      <c r="I17">
        <v>5</v>
      </c>
      <c r="J17">
        <v>36</v>
      </c>
      <c r="K17">
        <v>15</v>
      </c>
      <c r="L17">
        <v>21</v>
      </c>
      <c r="M17" s="9" t="s">
        <v>22</v>
      </c>
      <c r="N17" s="9" t="s">
        <v>23</v>
      </c>
    </row>
    <row r="18" spans="1:14" x14ac:dyDescent="0.3">
      <c r="A18">
        <v>1017</v>
      </c>
      <c r="B18" s="8">
        <v>45387</v>
      </c>
      <c r="C18" s="9" t="s">
        <v>53</v>
      </c>
      <c r="D18" s="9" t="s">
        <v>19</v>
      </c>
      <c r="E18">
        <v>2</v>
      </c>
      <c r="F18">
        <v>18</v>
      </c>
      <c r="G18" s="9" t="s">
        <v>31</v>
      </c>
      <c r="H18" s="9" t="s">
        <v>21</v>
      </c>
      <c r="I18">
        <v>4</v>
      </c>
      <c r="J18">
        <v>36</v>
      </c>
      <c r="K18">
        <v>16</v>
      </c>
      <c r="L18">
        <v>20</v>
      </c>
      <c r="M18" s="9" t="s">
        <v>32</v>
      </c>
      <c r="N18" s="9" t="s">
        <v>23</v>
      </c>
    </row>
    <row r="19" spans="1:14" x14ac:dyDescent="0.3">
      <c r="A19">
        <v>1018</v>
      </c>
      <c r="B19" s="8">
        <v>45390</v>
      </c>
      <c r="C19" s="9" t="s">
        <v>54</v>
      </c>
      <c r="D19" s="9" t="s">
        <v>24</v>
      </c>
      <c r="E19">
        <v>1</v>
      </c>
      <c r="F19">
        <v>95</v>
      </c>
      <c r="G19" s="9" t="s">
        <v>15</v>
      </c>
      <c r="H19" s="9" t="s">
        <v>16</v>
      </c>
      <c r="I19">
        <v>4</v>
      </c>
      <c r="J19">
        <v>95</v>
      </c>
      <c r="K19">
        <v>55</v>
      </c>
      <c r="L19">
        <v>40</v>
      </c>
      <c r="M19" s="9" t="s">
        <v>17</v>
      </c>
      <c r="N19" s="9" t="s">
        <v>23</v>
      </c>
    </row>
    <row r="20" spans="1:14" x14ac:dyDescent="0.3">
      <c r="A20">
        <v>1019</v>
      </c>
      <c r="B20" s="8">
        <v>45392</v>
      </c>
      <c r="C20" s="9" t="s">
        <v>55</v>
      </c>
      <c r="D20" s="9" t="s">
        <v>14</v>
      </c>
      <c r="E20">
        <v>1</v>
      </c>
      <c r="F20">
        <v>45</v>
      </c>
      <c r="G20" s="9" t="s">
        <v>20</v>
      </c>
      <c r="H20" s="9" t="s">
        <v>21</v>
      </c>
      <c r="I20">
        <v>5</v>
      </c>
      <c r="J20">
        <v>45</v>
      </c>
      <c r="K20">
        <v>20</v>
      </c>
      <c r="L20">
        <v>25</v>
      </c>
      <c r="M20" s="9" t="s">
        <v>25</v>
      </c>
      <c r="N20" s="9" t="s">
        <v>23</v>
      </c>
    </row>
    <row r="21" spans="1:14" x14ac:dyDescent="0.3">
      <c r="A21">
        <v>1020</v>
      </c>
      <c r="B21" s="8">
        <v>45394</v>
      </c>
      <c r="C21" s="9" t="s">
        <v>56</v>
      </c>
      <c r="D21" s="9" t="s">
        <v>27</v>
      </c>
      <c r="E21">
        <v>1</v>
      </c>
      <c r="F21">
        <v>60</v>
      </c>
      <c r="G21" s="9" t="s">
        <v>33</v>
      </c>
      <c r="H21" s="9" t="s">
        <v>16</v>
      </c>
      <c r="I21">
        <v>3</v>
      </c>
      <c r="J21">
        <v>60</v>
      </c>
      <c r="K21">
        <v>35</v>
      </c>
      <c r="L21">
        <v>25</v>
      </c>
      <c r="M21" s="9" t="s">
        <v>29</v>
      </c>
      <c r="N21" s="9" t="s">
        <v>18</v>
      </c>
    </row>
    <row r="22" spans="1:14" x14ac:dyDescent="0.3">
      <c r="A22">
        <v>1021</v>
      </c>
      <c r="B22" s="8">
        <v>45397</v>
      </c>
      <c r="C22" s="9" t="s">
        <v>57</v>
      </c>
      <c r="D22" s="9" t="s">
        <v>14</v>
      </c>
      <c r="E22">
        <v>4</v>
      </c>
      <c r="F22">
        <v>10</v>
      </c>
      <c r="G22" s="9" t="s">
        <v>34</v>
      </c>
      <c r="H22" s="9" t="s">
        <v>28</v>
      </c>
      <c r="I22">
        <v>5</v>
      </c>
      <c r="J22">
        <v>40</v>
      </c>
      <c r="K22">
        <v>16</v>
      </c>
      <c r="L22">
        <v>24</v>
      </c>
      <c r="M22" s="9" t="s">
        <v>22</v>
      </c>
      <c r="N22" s="9" t="s">
        <v>23</v>
      </c>
    </row>
    <row r="23" spans="1:14" x14ac:dyDescent="0.3">
      <c r="A23">
        <v>1022</v>
      </c>
      <c r="B23" s="8">
        <v>45399</v>
      </c>
      <c r="C23" s="9" t="s">
        <v>58</v>
      </c>
      <c r="D23" s="9" t="s">
        <v>19</v>
      </c>
      <c r="E23">
        <v>1</v>
      </c>
      <c r="F23">
        <v>35</v>
      </c>
      <c r="G23" s="9" t="s">
        <v>26</v>
      </c>
      <c r="H23" s="9" t="s">
        <v>21</v>
      </c>
      <c r="I23">
        <v>4</v>
      </c>
      <c r="J23">
        <v>35</v>
      </c>
      <c r="K23">
        <v>15</v>
      </c>
      <c r="L23">
        <v>20</v>
      </c>
      <c r="M23" s="9" t="s">
        <v>32</v>
      </c>
      <c r="N23" s="9" t="s">
        <v>23</v>
      </c>
    </row>
    <row r="24" spans="1:14" x14ac:dyDescent="0.3">
      <c r="A24">
        <v>1023</v>
      </c>
      <c r="B24" s="8">
        <v>45402</v>
      </c>
      <c r="C24" s="9" t="s">
        <v>59</v>
      </c>
      <c r="D24" s="9" t="s">
        <v>19</v>
      </c>
      <c r="E24">
        <v>2</v>
      </c>
      <c r="F24">
        <v>15</v>
      </c>
      <c r="G24" s="9" t="s">
        <v>31</v>
      </c>
      <c r="H24" s="9" t="s">
        <v>16</v>
      </c>
      <c r="I24">
        <v>4</v>
      </c>
      <c r="J24">
        <v>30</v>
      </c>
      <c r="K24">
        <v>12</v>
      </c>
      <c r="L24">
        <v>18</v>
      </c>
      <c r="M24" s="9" t="s">
        <v>17</v>
      </c>
      <c r="N24" s="9" t="s">
        <v>23</v>
      </c>
    </row>
    <row r="25" spans="1:14" x14ac:dyDescent="0.3">
      <c r="A25">
        <v>1024</v>
      </c>
      <c r="B25" s="8">
        <v>45404</v>
      </c>
      <c r="C25" s="9" t="s">
        <v>60</v>
      </c>
      <c r="D25" s="9" t="s">
        <v>37</v>
      </c>
      <c r="E25">
        <v>1</v>
      </c>
      <c r="F25">
        <v>18</v>
      </c>
      <c r="G25" s="9" t="s">
        <v>15</v>
      </c>
      <c r="H25" s="9" t="s">
        <v>28</v>
      </c>
      <c r="I25">
        <v>3</v>
      </c>
      <c r="J25">
        <v>18</v>
      </c>
      <c r="K25">
        <v>8</v>
      </c>
      <c r="L25">
        <v>10</v>
      </c>
      <c r="M25" s="9" t="s">
        <v>25</v>
      </c>
      <c r="N25" s="9" t="s">
        <v>23</v>
      </c>
    </row>
    <row r="26" spans="1:14" x14ac:dyDescent="0.3">
      <c r="A26">
        <v>1025</v>
      </c>
      <c r="B26" s="8">
        <v>45407</v>
      </c>
      <c r="C26" s="9" t="s">
        <v>61</v>
      </c>
      <c r="D26" s="9" t="s">
        <v>39</v>
      </c>
      <c r="E26">
        <v>1</v>
      </c>
      <c r="F26">
        <v>120</v>
      </c>
      <c r="G26" s="9" t="s">
        <v>20</v>
      </c>
      <c r="H26" s="9" t="s">
        <v>21</v>
      </c>
      <c r="I26">
        <v>5</v>
      </c>
      <c r="J26">
        <v>120</v>
      </c>
      <c r="K26">
        <v>70</v>
      </c>
      <c r="L26">
        <v>50</v>
      </c>
      <c r="M26" s="9" t="s">
        <v>29</v>
      </c>
      <c r="N26" s="9" t="s">
        <v>23</v>
      </c>
    </row>
    <row r="27" spans="1:14" x14ac:dyDescent="0.3">
      <c r="A27">
        <v>1026</v>
      </c>
      <c r="B27" s="8">
        <v>45410</v>
      </c>
      <c r="C27" s="9" t="s">
        <v>62</v>
      </c>
      <c r="D27" s="9" t="s">
        <v>39</v>
      </c>
      <c r="E27">
        <v>5</v>
      </c>
      <c r="F27">
        <v>6</v>
      </c>
      <c r="G27" s="9" t="s">
        <v>33</v>
      </c>
      <c r="H27" s="9" t="s">
        <v>16</v>
      </c>
      <c r="I27">
        <v>4</v>
      </c>
      <c r="J27">
        <v>30</v>
      </c>
      <c r="K27">
        <v>15</v>
      </c>
      <c r="L27">
        <v>15</v>
      </c>
      <c r="M27" s="9" t="s">
        <v>22</v>
      </c>
      <c r="N27" s="9" t="s">
        <v>23</v>
      </c>
    </row>
    <row r="28" spans="1:14" x14ac:dyDescent="0.3">
      <c r="A28">
        <v>1027</v>
      </c>
      <c r="B28" s="8">
        <v>45414</v>
      </c>
      <c r="C28" s="9" t="s">
        <v>63</v>
      </c>
      <c r="D28" s="9" t="s">
        <v>19</v>
      </c>
      <c r="E28">
        <v>3</v>
      </c>
      <c r="F28">
        <v>12</v>
      </c>
      <c r="G28" s="9" t="s">
        <v>34</v>
      </c>
      <c r="H28" s="9" t="s">
        <v>21</v>
      </c>
      <c r="I28">
        <v>5</v>
      </c>
      <c r="J28">
        <v>36</v>
      </c>
      <c r="K28">
        <v>15</v>
      </c>
      <c r="L28">
        <v>21</v>
      </c>
      <c r="M28" s="9" t="s">
        <v>32</v>
      </c>
      <c r="N28" s="9" t="s">
        <v>23</v>
      </c>
    </row>
    <row r="29" spans="1:14" x14ac:dyDescent="0.3">
      <c r="A29">
        <v>1028</v>
      </c>
      <c r="B29" s="8">
        <v>45417</v>
      </c>
      <c r="C29" s="9" t="s">
        <v>64</v>
      </c>
      <c r="D29" s="9" t="s">
        <v>14</v>
      </c>
      <c r="E29">
        <v>1</v>
      </c>
      <c r="F29">
        <v>30</v>
      </c>
      <c r="G29" s="9" t="s">
        <v>26</v>
      </c>
      <c r="H29" s="9" t="s">
        <v>16</v>
      </c>
      <c r="I29">
        <v>4</v>
      </c>
      <c r="J29">
        <v>30</v>
      </c>
      <c r="K29">
        <v>14</v>
      </c>
      <c r="L29">
        <v>16</v>
      </c>
      <c r="M29" s="9" t="s">
        <v>17</v>
      </c>
      <c r="N29" s="9" t="s">
        <v>18</v>
      </c>
    </row>
    <row r="30" spans="1:14" x14ac:dyDescent="0.3">
      <c r="A30">
        <v>1029</v>
      </c>
      <c r="B30" s="8">
        <v>45420</v>
      </c>
      <c r="C30" s="9" t="s">
        <v>65</v>
      </c>
      <c r="D30" s="9" t="s">
        <v>14</v>
      </c>
      <c r="E30">
        <v>2</v>
      </c>
      <c r="F30">
        <v>25</v>
      </c>
      <c r="G30" s="9" t="s">
        <v>31</v>
      </c>
      <c r="H30" s="9" t="s">
        <v>28</v>
      </c>
      <c r="I30">
        <v>5</v>
      </c>
      <c r="J30">
        <v>50</v>
      </c>
      <c r="K30">
        <v>22</v>
      </c>
      <c r="L30">
        <v>28</v>
      </c>
      <c r="M30" s="9" t="s">
        <v>25</v>
      </c>
      <c r="N30" s="9" t="s">
        <v>23</v>
      </c>
    </row>
    <row r="31" spans="1:14" x14ac:dyDescent="0.3">
      <c r="A31">
        <v>1030</v>
      </c>
      <c r="B31" s="8">
        <v>45422</v>
      </c>
      <c r="C31" s="9" t="s">
        <v>66</v>
      </c>
      <c r="D31" s="9" t="s">
        <v>19</v>
      </c>
      <c r="E31">
        <v>1</v>
      </c>
      <c r="F31">
        <v>22</v>
      </c>
      <c r="G31" s="9" t="s">
        <v>15</v>
      </c>
      <c r="H31" s="9" t="s">
        <v>21</v>
      </c>
      <c r="I31">
        <v>4</v>
      </c>
      <c r="J31">
        <v>22</v>
      </c>
      <c r="K31">
        <v>10</v>
      </c>
      <c r="L31">
        <v>12</v>
      </c>
      <c r="M31" s="9" t="s">
        <v>29</v>
      </c>
      <c r="N31" s="9" t="s">
        <v>23</v>
      </c>
    </row>
    <row r="32" spans="1:14" x14ac:dyDescent="0.3">
      <c r="A32">
        <v>1031</v>
      </c>
      <c r="B32" s="8">
        <v>45424</v>
      </c>
      <c r="C32" s="9" t="s">
        <v>67</v>
      </c>
      <c r="D32" s="9" t="s">
        <v>39</v>
      </c>
      <c r="E32">
        <v>2</v>
      </c>
      <c r="F32">
        <v>8</v>
      </c>
      <c r="G32" s="9" t="s">
        <v>20</v>
      </c>
      <c r="H32" s="9" t="s">
        <v>16</v>
      </c>
      <c r="I32">
        <v>3</v>
      </c>
      <c r="J32">
        <v>16</v>
      </c>
      <c r="K32">
        <v>6</v>
      </c>
      <c r="L32">
        <v>10</v>
      </c>
      <c r="M32" s="9" t="s">
        <v>22</v>
      </c>
      <c r="N32" s="9" t="s">
        <v>23</v>
      </c>
    </row>
    <row r="33" spans="1:14" x14ac:dyDescent="0.3">
      <c r="A33">
        <v>1032</v>
      </c>
      <c r="B33" s="8">
        <v>45427</v>
      </c>
      <c r="C33" s="9" t="s">
        <v>68</v>
      </c>
      <c r="D33" s="9" t="s">
        <v>37</v>
      </c>
      <c r="E33">
        <v>1</v>
      </c>
      <c r="F33">
        <v>28</v>
      </c>
      <c r="G33" s="9" t="s">
        <v>33</v>
      </c>
      <c r="H33" s="9" t="s">
        <v>28</v>
      </c>
      <c r="I33">
        <v>4</v>
      </c>
      <c r="J33">
        <v>28</v>
      </c>
      <c r="K33">
        <v>12</v>
      </c>
      <c r="L33">
        <v>16</v>
      </c>
      <c r="M33" s="9" t="s">
        <v>32</v>
      </c>
      <c r="N33" s="9" t="s">
        <v>23</v>
      </c>
    </row>
    <row r="34" spans="1:14" x14ac:dyDescent="0.3">
      <c r="A34">
        <v>1033</v>
      </c>
      <c r="B34" s="8">
        <v>45430</v>
      </c>
      <c r="C34" s="9" t="s">
        <v>69</v>
      </c>
      <c r="D34" s="9" t="s">
        <v>37</v>
      </c>
      <c r="E34">
        <v>1</v>
      </c>
      <c r="F34">
        <v>20</v>
      </c>
      <c r="G34" s="9" t="s">
        <v>34</v>
      </c>
      <c r="H34" s="9" t="s">
        <v>21</v>
      </c>
      <c r="I34">
        <v>5</v>
      </c>
      <c r="J34">
        <v>20</v>
      </c>
      <c r="K34">
        <v>9</v>
      </c>
      <c r="L34">
        <v>11</v>
      </c>
      <c r="M34" s="9" t="s">
        <v>17</v>
      </c>
      <c r="N34" s="9" t="s">
        <v>23</v>
      </c>
    </row>
    <row r="35" spans="1:14" x14ac:dyDescent="0.3">
      <c r="A35">
        <v>1034</v>
      </c>
      <c r="B35" s="8">
        <v>45432</v>
      </c>
      <c r="C35" s="9" t="s">
        <v>70</v>
      </c>
      <c r="D35" s="9" t="s">
        <v>39</v>
      </c>
      <c r="E35">
        <v>1</v>
      </c>
      <c r="F35">
        <v>150</v>
      </c>
      <c r="G35" s="9" t="s">
        <v>26</v>
      </c>
      <c r="H35" s="9" t="s">
        <v>16</v>
      </c>
      <c r="I35">
        <v>4</v>
      </c>
      <c r="J35">
        <v>150</v>
      </c>
      <c r="K35">
        <v>90</v>
      </c>
      <c r="L35">
        <v>60</v>
      </c>
      <c r="M35" s="9" t="s">
        <v>25</v>
      </c>
      <c r="N35" s="9" t="s">
        <v>23</v>
      </c>
    </row>
    <row r="36" spans="1:14" x14ac:dyDescent="0.3">
      <c r="A36">
        <v>1035</v>
      </c>
      <c r="B36" s="8">
        <v>45434</v>
      </c>
      <c r="C36" s="9" t="s">
        <v>71</v>
      </c>
      <c r="D36" s="9" t="s">
        <v>39</v>
      </c>
      <c r="E36">
        <v>1</v>
      </c>
      <c r="F36">
        <v>300</v>
      </c>
      <c r="G36" s="9" t="s">
        <v>31</v>
      </c>
      <c r="H36" s="9" t="s">
        <v>21</v>
      </c>
      <c r="I36">
        <v>5</v>
      </c>
      <c r="J36">
        <v>300</v>
      </c>
      <c r="K36">
        <v>180</v>
      </c>
      <c r="L36">
        <v>120</v>
      </c>
      <c r="M36" s="9" t="s">
        <v>29</v>
      </c>
      <c r="N36" s="9" t="s">
        <v>23</v>
      </c>
    </row>
    <row r="37" spans="1:14" x14ac:dyDescent="0.3">
      <c r="A37">
        <v>1036</v>
      </c>
      <c r="B37" s="8">
        <v>45437</v>
      </c>
      <c r="C37" s="9" t="s">
        <v>72</v>
      </c>
      <c r="D37" s="9" t="s">
        <v>19</v>
      </c>
      <c r="E37">
        <v>1</v>
      </c>
      <c r="F37">
        <v>85</v>
      </c>
      <c r="G37" s="9" t="s">
        <v>15</v>
      </c>
      <c r="H37" s="9" t="s">
        <v>28</v>
      </c>
      <c r="I37">
        <v>4</v>
      </c>
      <c r="J37">
        <v>85</v>
      </c>
      <c r="K37">
        <v>45</v>
      </c>
      <c r="L37">
        <v>40</v>
      </c>
      <c r="M37" s="9" t="s">
        <v>22</v>
      </c>
      <c r="N37" s="9" t="s">
        <v>23</v>
      </c>
    </row>
    <row r="38" spans="1:14" x14ac:dyDescent="0.3">
      <c r="A38">
        <v>1037</v>
      </c>
      <c r="B38" s="8">
        <v>45440</v>
      </c>
      <c r="C38" s="9" t="s">
        <v>73</v>
      </c>
      <c r="D38" s="9" t="s">
        <v>19</v>
      </c>
      <c r="E38">
        <v>1</v>
      </c>
      <c r="F38">
        <v>50</v>
      </c>
      <c r="G38" s="9" t="s">
        <v>20</v>
      </c>
      <c r="H38" s="9" t="s">
        <v>16</v>
      </c>
      <c r="I38">
        <v>4</v>
      </c>
      <c r="J38">
        <v>50</v>
      </c>
      <c r="K38">
        <v>25</v>
      </c>
      <c r="L38">
        <v>25</v>
      </c>
      <c r="M38" s="9" t="s">
        <v>32</v>
      </c>
      <c r="N38" s="9" t="s">
        <v>18</v>
      </c>
    </row>
    <row r="39" spans="1:14" x14ac:dyDescent="0.3">
      <c r="A39">
        <v>1038</v>
      </c>
      <c r="B39" s="8">
        <v>45442</v>
      </c>
      <c r="C39" s="9" t="s">
        <v>74</v>
      </c>
      <c r="D39" s="9" t="s">
        <v>14</v>
      </c>
      <c r="E39">
        <v>1</v>
      </c>
      <c r="F39">
        <v>40</v>
      </c>
      <c r="G39" s="9" t="s">
        <v>33</v>
      </c>
      <c r="H39" s="9" t="s">
        <v>21</v>
      </c>
      <c r="I39">
        <v>5</v>
      </c>
      <c r="J39">
        <v>40</v>
      </c>
      <c r="K39">
        <v>18</v>
      </c>
      <c r="L39">
        <v>22</v>
      </c>
      <c r="M39" s="9" t="s">
        <v>17</v>
      </c>
      <c r="N39" s="9" t="s">
        <v>23</v>
      </c>
    </row>
    <row r="40" spans="1:14" x14ac:dyDescent="0.3">
      <c r="A40">
        <v>1039</v>
      </c>
      <c r="B40" s="8">
        <v>45445</v>
      </c>
      <c r="C40" s="9" t="s">
        <v>75</v>
      </c>
      <c r="D40" s="9" t="s">
        <v>14</v>
      </c>
      <c r="E40">
        <v>2</v>
      </c>
      <c r="F40">
        <v>35</v>
      </c>
      <c r="G40" s="9" t="s">
        <v>34</v>
      </c>
      <c r="H40" s="9" t="s">
        <v>28</v>
      </c>
      <c r="I40">
        <v>4</v>
      </c>
      <c r="J40">
        <v>70</v>
      </c>
      <c r="K40">
        <v>30</v>
      </c>
      <c r="L40">
        <v>40</v>
      </c>
      <c r="M40" s="9" t="s">
        <v>25</v>
      </c>
      <c r="N40" s="9" t="s">
        <v>23</v>
      </c>
    </row>
    <row r="41" spans="1:14" x14ac:dyDescent="0.3">
      <c r="A41">
        <v>1040</v>
      </c>
      <c r="B41" s="8">
        <v>45448</v>
      </c>
      <c r="C41" s="9" t="s">
        <v>76</v>
      </c>
      <c r="D41" s="9" t="s">
        <v>24</v>
      </c>
      <c r="E41">
        <v>1</v>
      </c>
      <c r="F41">
        <v>130</v>
      </c>
      <c r="G41" s="9" t="s">
        <v>26</v>
      </c>
      <c r="H41" s="9" t="s">
        <v>16</v>
      </c>
      <c r="I41">
        <v>5</v>
      </c>
      <c r="J41">
        <v>130</v>
      </c>
      <c r="K41">
        <v>80</v>
      </c>
      <c r="L41">
        <v>50</v>
      </c>
      <c r="M41" s="9" t="s">
        <v>29</v>
      </c>
      <c r="N41" s="9" t="s">
        <v>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8ACB7-14E3-4803-A453-566A0C49F9C3}">
  <dimension ref="A1"/>
  <sheetViews>
    <sheetView workbookViewId="0">
      <selection activeCell="B3" sqref="B3"/>
    </sheetView>
  </sheetViews>
  <sheetFormatPr baseColWidth="10" defaultRowHeight="14.4" x14ac:dyDescent="0.3"/>
  <sheetData>
    <row r="1" spans="1:1" x14ac:dyDescent="0.3">
      <c r="A1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A2EC30-A264-44A4-981E-3665D35CC3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Venta_por_categoria</vt:lpstr>
      <vt:lpstr>venta por_categoria2</vt:lpstr>
      <vt:lpstr>beneficio_por_canal</vt:lpstr>
      <vt:lpstr>canal_de_venta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XTALENTO 109</cp:lastModifiedBy>
  <cp:revision>0</cp:revision>
  <dcterms:created xsi:type="dcterms:W3CDTF">2026-02-17T20:36:55Z</dcterms:created>
  <dcterms:modified xsi:type="dcterms:W3CDTF">2026-03-05T10:24:20Z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2026-03-05T09:31:35Z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6d4c779c-23d6-4fdd-a0c0-a77875125256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