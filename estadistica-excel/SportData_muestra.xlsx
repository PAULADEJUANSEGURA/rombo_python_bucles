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Proyectos/cursos_activos/inserta_once/"/>
    </mc:Choice>
  </mc:AlternateContent>
  <xr:revisionPtr revIDLastSave="0" documentId="13_ncr:1_{9EBA25B7-521E-EB4F-B673-F588AB60EF5B}" xr6:coauthVersionLast="47" xr6:coauthVersionMax="47" xr10:uidLastSave="{00000000-0000-0000-0000-000000000000}"/>
  <bookViews>
    <workbookView xWindow="-37300" yWindow="1080" windowWidth="36000" windowHeight="19740" tabRatio="500" xr2:uid="{00000000-000D-0000-FFFF-FFFF00000000}"/>
  </bookViews>
  <sheets>
    <sheet name="Datos" sheetId="1" r:id="rId1"/>
  </sheets>
  <definedNames>
    <definedName name="_xlnm._FilterDatabase" localSheetId="0" hidden="1">Datos!$A$1:$N$201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J2" i="1"/>
  <c r="J3" i="1"/>
  <c r="J90" i="1"/>
  <c r="L90" i="1" s="1"/>
  <c r="J4" i="1"/>
  <c r="L4" i="1" s="1"/>
  <c r="J181" i="1"/>
  <c r="L181" i="1" s="1"/>
  <c r="J174" i="1"/>
  <c r="L174" i="1" s="1"/>
  <c r="J14" i="1"/>
  <c r="L14" i="1" s="1"/>
  <c r="J42" i="1"/>
  <c r="L42" i="1" s="1"/>
  <c r="J22" i="1"/>
  <c r="L22" i="1" s="1"/>
  <c r="J193" i="1"/>
  <c r="L193" i="1" s="1"/>
  <c r="J49" i="1"/>
  <c r="L49" i="1" s="1"/>
  <c r="J104" i="1"/>
  <c r="L104" i="1" s="1"/>
  <c r="J28" i="1"/>
  <c r="L28" i="1" s="1"/>
  <c r="J126" i="1"/>
  <c r="L126" i="1" s="1"/>
  <c r="J64" i="1"/>
  <c r="L64" i="1" s="1"/>
  <c r="J127" i="1"/>
  <c r="L127" i="1" s="1"/>
  <c r="J176" i="1"/>
  <c r="L176" i="1" s="1"/>
  <c r="J111" i="1"/>
  <c r="L111" i="1" s="1"/>
  <c r="J93" i="1"/>
  <c r="L93" i="1" s="1"/>
  <c r="J116" i="1"/>
  <c r="L116" i="1" s="1"/>
  <c r="J107" i="1"/>
  <c r="L107" i="1" s="1"/>
  <c r="J88" i="1"/>
  <c r="L88" i="1" s="1"/>
  <c r="J86" i="1"/>
  <c r="L86" i="1" s="1"/>
  <c r="J150" i="1"/>
  <c r="L150" i="1" s="1"/>
  <c r="J50" i="1"/>
  <c r="L50" i="1" s="1"/>
  <c r="J187" i="1"/>
  <c r="L187" i="1" s="1"/>
  <c r="J122" i="1"/>
  <c r="L122" i="1" s="1"/>
  <c r="J8" i="1"/>
  <c r="L8" i="1" s="1"/>
  <c r="J145" i="1"/>
  <c r="L145" i="1" s="1"/>
  <c r="J68" i="1"/>
  <c r="L68" i="1" s="1"/>
  <c r="J91" i="1"/>
  <c r="L91" i="1" s="1"/>
  <c r="J36" i="1"/>
  <c r="L36" i="1" s="1"/>
  <c r="J5" i="1"/>
  <c r="L5" i="1" s="1"/>
  <c r="J62" i="1"/>
  <c r="L62" i="1" s="1"/>
  <c r="J100" i="1"/>
  <c r="L100" i="1" s="1"/>
  <c r="J13" i="1"/>
  <c r="L13" i="1" s="1"/>
  <c r="J30" i="1"/>
  <c r="L30" i="1" s="1"/>
  <c r="J200" i="1"/>
  <c r="L200" i="1" s="1"/>
  <c r="J130" i="1"/>
  <c r="L130" i="1" s="1"/>
  <c r="J162" i="1"/>
  <c r="L162" i="1" s="1"/>
  <c r="J39" i="1"/>
  <c r="L39" i="1" s="1"/>
  <c r="J180" i="1"/>
  <c r="L180" i="1" s="1"/>
  <c r="J92" i="1"/>
  <c r="L92" i="1" s="1"/>
  <c r="J69" i="1"/>
  <c r="L69" i="1" s="1"/>
  <c r="J103" i="1"/>
  <c r="L103" i="1" s="1"/>
  <c r="J154" i="1"/>
  <c r="L154" i="1" s="1"/>
  <c r="J161" i="1"/>
  <c r="L161" i="1" s="1"/>
  <c r="J128" i="1"/>
  <c r="L128" i="1" s="1"/>
  <c r="J38" i="1"/>
  <c r="L38" i="1" s="1"/>
  <c r="J175" i="1"/>
  <c r="L175" i="1" s="1"/>
  <c r="J102" i="1"/>
  <c r="L102" i="1" s="1"/>
  <c r="J73" i="1"/>
  <c r="L73" i="1" s="1"/>
  <c r="J71" i="1"/>
  <c r="L71" i="1" s="1"/>
  <c r="J143" i="1"/>
  <c r="L143" i="1" s="1"/>
  <c r="J78" i="1"/>
  <c r="L78" i="1" s="1"/>
  <c r="J196" i="1"/>
  <c r="L196" i="1" s="1"/>
  <c r="J178" i="1"/>
  <c r="L178" i="1" s="1"/>
  <c r="J80" i="1"/>
  <c r="L80" i="1" s="1"/>
  <c r="J58" i="1"/>
  <c r="L58" i="1" s="1"/>
  <c r="J76" i="1"/>
  <c r="L76" i="1" s="1"/>
  <c r="J152" i="1"/>
  <c r="L152" i="1" s="1"/>
  <c r="J157" i="1"/>
  <c r="L157" i="1" s="1"/>
  <c r="J159" i="1"/>
  <c r="L159" i="1" s="1"/>
  <c r="J148" i="1"/>
  <c r="L148" i="1" s="1"/>
  <c r="J15" i="1"/>
  <c r="L15" i="1" s="1"/>
  <c r="J146" i="1"/>
  <c r="L146" i="1" s="1"/>
  <c r="J87" i="1"/>
  <c r="L87" i="1" s="1"/>
  <c r="J51" i="1"/>
  <c r="L51" i="1" s="1"/>
  <c r="J156" i="1"/>
  <c r="L156" i="1" s="1"/>
  <c r="J172" i="1"/>
  <c r="L172" i="1" s="1"/>
  <c r="J77" i="1"/>
  <c r="L77" i="1" s="1"/>
  <c r="J112" i="1"/>
  <c r="L112" i="1" s="1"/>
  <c r="J184" i="1"/>
  <c r="L184" i="1" s="1"/>
  <c r="J169" i="1"/>
  <c r="L169" i="1" s="1"/>
  <c r="J105" i="1"/>
  <c r="L105" i="1" s="1"/>
  <c r="J97" i="1"/>
  <c r="L97" i="1" s="1"/>
  <c r="J20" i="1"/>
  <c r="L20" i="1" s="1"/>
  <c r="J47" i="1"/>
  <c r="L47" i="1" s="1"/>
  <c r="J57" i="1"/>
  <c r="L57" i="1" s="1"/>
  <c r="J185" i="1"/>
  <c r="L185" i="1" s="1"/>
  <c r="J55" i="1"/>
  <c r="L55" i="1" s="1"/>
  <c r="J19" i="1"/>
  <c r="L19" i="1" s="1"/>
  <c r="J124" i="1"/>
  <c r="L124" i="1" s="1"/>
  <c r="J60" i="1"/>
  <c r="L60" i="1" s="1"/>
  <c r="J138" i="1"/>
  <c r="L138" i="1" s="1"/>
  <c r="J94" i="1"/>
  <c r="L94" i="1" s="1"/>
  <c r="J44" i="1"/>
  <c r="L44" i="1" s="1"/>
  <c r="J32" i="1"/>
  <c r="L32" i="1" s="1"/>
  <c r="J191" i="1"/>
  <c r="L191" i="1" s="1"/>
  <c r="J189" i="1"/>
  <c r="L189" i="1" s="1"/>
  <c r="J113" i="1"/>
  <c r="L113" i="1" s="1"/>
  <c r="J134" i="1"/>
  <c r="L134" i="1" s="1"/>
  <c r="J121" i="1"/>
  <c r="L121" i="1" s="1"/>
  <c r="J61" i="1"/>
  <c r="L61" i="1" s="1"/>
  <c r="J7" i="1"/>
  <c r="L7" i="1" s="1"/>
  <c r="J16" i="1"/>
  <c r="L16" i="1" s="1"/>
  <c r="J195" i="1"/>
  <c r="L195" i="1" s="1"/>
  <c r="J120" i="1"/>
  <c r="L120" i="1" s="1"/>
  <c r="J194" i="1"/>
  <c r="L194" i="1" s="1"/>
  <c r="J131" i="1"/>
  <c r="L131" i="1" s="1"/>
  <c r="J72" i="1"/>
  <c r="L72" i="1" s="1"/>
  <c r="J17" i="1"/>
  <c r="L17" i="1" s="1"/>
  <c r="J6" i="1"/>
  <c r="L6" i="1" s="1"/>
  <c r="J139" i="1"/>
  <c r="L139" i="1" s="1"/>
  <c r="J142" i="1"/>
  <c r="L142" i="1" s="1"/>
  <c r="J197" i="1"/>
  <c r="L197" i="1" s="1"/>
  <c r="J46" i="1"/>
  <c r="L46" i="1" s="1"/>
  <c r="J45" i="1"/>
  <c r="L45" i="1" s="1"/>
  <c r="J158" i="1"/>
  <c r="L158" i="1" s="1"/>
  <c r="J149" i="1"/>
  <c r="L149" i="1" s="1"/>
  <c r="J136" i="1"/>
  <c r="L136" i="1" s="1"/>
  <c r="J163" i="1"/>
  <c r="L163" i="1" s="1"/>
  <c r="J186" i="1"/>
  <c r="L186" i="1" s="1"/>
  <c r="J132" i="1"/>
  <c r="L132" i="1" s="1"/>
  <c r="J35" i="1"/>
  <c r="L35" i="1" s="1"/>
  <c r="J85" i="1"/>
  <c r="L85" i="1" s="1"/>
  <c r="J117" i="1"/>
  <c r="L117" i="1" s="1"/>
  <c r="J99" i="1"/>
  <c r="L99" i="1" s="1"/>
  <c r="J183" i="1"/>
  <c r="L183" i="1" s="1"/>
  <c r="J171" i="1"/>
  <c r="L171" i="1" s="1"/>
  <c r="J52" i="1"/>
  <c r="L52" i="1" s="1"/>
  <c r="J160" i="1"/>
  <c r="L160" i="1" s="1"/>
  <c r="J74" i="1"/>
  <c r="L74" i="1" s="1"/>
  <c r="J65" i="1"/>
  <c r="L65" i="1" s="1"/>
  <c r="J25" i="1"/>
  <c r="L25" i="1" s="1"/>
  <c r="J114" i="1"/>
  <c r="L114" i="1" s="1"/>
  <c r="J101" i="1"/>
  <c r="L101" i="1" s="1"/>
  <c r="J106" i="1"/>
  <c r="L106" i="1" s="1"/>
  <c r="J153" i="1"/>
  <c r="L153" i="1" s="1"/>
  <c r="J84" i="1"/>
  <c r="L84" i="1" s="1"/>
  <c r="J177" i="1"/>
  <c r="L177" i="1" s="1"/>
  <c r="J41" i="1"/>
  <c r="L41" i="1" s="1"/>
  <c r="J168" i="1"/>
  <c r="L168" i="1" s="1"/>
  <c r="J115" i="1"/>
  <c r="L115" i="1" s="1"/>
  <c r="J108" i="1"/>
  <c r="L108" i="1" s="1"/>
  <c r="J173" i="1"/>
  <c r="L173" i="1" s="1"/>
  <c r="J66" i="1"/>
  <c r="L66" i="1" s="1"/>
  <c r="J43" i="1"/>
  <c r="L43" i="1" s="1"/>
  <c r="J12" i="1"/>
  <c r="L12" i="1" s="1"/>
  <c r="J9" i="1"/>
  <c r="L9" i="1" s="1"/>
  <c r="J135" i="1"/>
  <c r="L135" i="1" s="1"/>
  <c r="J10" i="1"/>
  <c r="L10" i="1" s="1"/>
  <c r="J40" i="1"/>
  <c r="L40" i="1" s="1"/>
  <c r="J192" i="1"/>
  <c r="L192" i="1" s="1"/>
  <c r="J182" i="1"/>
  <c r="L182" i="1" s="1"/>
  <c r="J54" i="1"/>
  <c r="L54" i="1" s="1"/>
  <c r="J165" i="1"/>
  <c r="L165" i="1" s="1"/>
  <c r="J79" i="1"/>
  <c r="L79" i="1" s="1"/>
  <c r="J23" i="1"/>
  <c r="L23" i="1" s="1"/>
  <c r="J96" i="1"/>
  <c r="L96" i="1" s="1"/>
  <c r="J75" i="1"/>
  <c r="L75" i="1" s="1"/>
  <c r="J110" i="1"/>
  <c r="L110" i="1" s="1"/>
  <c r="J167" i="1"/>
  <c r="L167" i="1" s="1"/>
  <c r="J118" i="1"/>
  <c r="L118" i="1" s="1"/>
  <c r="J63" i="1"/>
  <c r="L63" i="1" s="1"/>
  <c r="J27" i="1"/>
  <c r="L27" i="1" s="1"/>
  <c r="J34" i="1"/>
  <c r="L34" i="1" s="1"/>
  <c r="J67" i="1"/>
  <c r="L67" i="1" s="1"/>
  <c r="J155" i="1"/>
  <c r="L155" i="1" s="1"/>
  <c r="J53" i="1"/>
  <c r="L53" i="1" s="1"/>
  <c r="J129" i="1"/>
  <c r="L129" i="1" s="1"/>
  <c r="J11" i="1"/>
  <c r="L11" i="1" s="1"/>
  <c r="J190" i="1"/>
  <c r="L190" i="1" s="1"/>
  <c r="J170" i="1"/>
  <c r="L170" i="1" s="1"/>
  <c r="J147" i="1"/>
  <c r="L147" i="1" s="1"/>
  <c r="J56" i="1"/>
  <c r="L56" i="1" s="1"/>
  <c r="J81" i="1"/>
  <c r="L81" i="1" s="1"/>
  <c r="J198" i="1"/>
  <c r="L198" i="1" s="1"/>
  <c r="J95" i="1"/>
  <c r="L95" i="1" s="1"/>
  <c r="J140" i="1"/>
  <c r="L140" i="1" s="1"/>
  <c r="J70" i="1"/>
  <c r="L70" i="1" s="1"/>
  <c r="J33" i="1"/>
  <c r="L33" i="1" s="1"/>
  <c r="J137" i="1"/>
  <c r="L137" i="1" s="1"/>
  <c r="J164" i="1"/>
  <c r="L164" i="1" s="1"/>
  <c r="J37" i="1"/>
  <c r="L37" i="1" s="1"/>
  <c r="J144" i="1"/>
  <c r="L144" i="1" s="1"/>
  <c r="J59" i="1"/>
  <c r="L59" i="1" s="1"/>
  <c r="J31" i="1"/>
  <c r="L31" i="1" s="1"/>
  <c r="J199" i="1"/>
  <c r="L199" i="1" s="1"/>
  <c r="J151" i="1"/>
  <c r="L151" i="1" s="1"/>
  <c r="J119" i="1"/>
  <c r="L119" i="1" s="1"/>
  <c r="J133" i="1"/>
  <c r="L133" i="1" s="1"/>
  <c r="J89" i="1"/>
  <c r="L89" i="1" s="1"/>
  <c r="J48" i="1"/>
  <c r="L48" i="1" s="1"/>
  <c r="J18" i="1"/>
  <c r="L18" i="1" s="1"/>
  <c r="J83" i="1"/>
  <c r="L83" i="1" s="1"/>
  <c r="J24" i="1"/>
  <c r="L24" i="1" s="1"/>
  <c r="J29" i="1"/>
  <c r="L29" i="1" s="1"/>
  <c r="J179" i="1"/>
  <c r="L179" i="1" s="1"/>
  <c r="J166" i="1"/>
  <c r="L166" i="1" s="1"/>
  <c r="J123" i="1"/>
  <c r="L123" i="1" s="1"/>
  <c r="J125" i="1"/>
  <c r="L125" i="1" s="1"/>
  <c r="J188" i="1"/>
  <c r="L188" i="1" s="1"/>
  <c r="J201" i="1"/>
  <c r="L201" i="1" s="1"/>
  <c r="J109" i="1"/>
  <c r="L109" i="1" s="1"/>
  <c r="J141" i="1"/>
  <c r="L141" i="1" s="1"/>
  <c r="J98" i="1"/>
  <c r="L98" i="1" s="1"/>
  <c r="J26" i="1"/>
  <c r="L26" i="1" s="1"/>
  <c r="J82" i="1"/>
  <c r="L82" i="1" s="1"/>
  <c r="J21" i="1"/>
  <c r="L21" i="1" s="1"/>
</calcChain>
</file>

<file path=xl/sharedStrings.xml><?xml version="1.0" encoding="utf-8"?>
<sst xmlns="http://schemas.openxmlformats.org/spreadsheetml/2006/main" count="1214" uniqueCount="48">
  <si>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</si>
  <si>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</si>
  <si>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</si>
  <si>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</si>
  <si>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</si>
  <si>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</si>
  <si>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</si>
  <si>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</si>
  <si>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</si>
  <si>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</si>
  <si>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</si>
  <si>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</si>
  <si>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</si>
  <si>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</si>
  <si>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Camiseta técnica</t>
  </si>
  <si>
    <t>Ropa</t>
  </si>
  <si>
    <t>Valencia</t>
  </si>
  <si>
    <t>Web</t>
  </si>
  <si>
    <t>Carlos López</t>
  </si>
  <si>
    <t>Sí</t>
  </si>
  <si>
    <t>Gorra deportiva</t>
  </si>
  <si>
    <t>Accesorios</t>
  </si>
  <si>
    <t>Sevilla</t>
  </si>
  <si>
    <t>Tienda</t>
  </si>
  <si>
    <t>Ana García</t>
  </si>
  <si>
    <t>No</t>
  </si>
  <si>
    <t>Zapatillas trail</t>
  </si>
  <si>
    <t>Calzado</t>
  </si>
  <si>
    <t>Laura Martínez</t>
  </si>
  <si>
    <t>Zapatillas running</t>
  </si>
  <si>
    <t>Madrid</t>
  </si>
  <si>
    <t>Auriculares sport</t>
  </si>
  <si>
    <t>Electrónica</t>
  </si>
  <si>
    <t>App</t>
  </si>
  <si>
    <t>Marta Fernández</t>
  </si>
  <si>
    <t>Gafas de sol sport</t>
  </si>
  <si>
    <t>Barcelona</t>
  </si>
  <si>
    <t>Mallas running</t>
  </si>
  <si>
    <t>Banda cardíaca</t>
  </si>
  <si>
    <t>David Ruiz</t>
  </si>
  <si>
    <t>Pantalón corto</t>
  </si>
  <si>
    <t>Chaqueta cortavientos</t>
  </si>
  <si>
    <t>Mochila 20L</t>
  </si>
  <si>
    <t>Bilbao</t>
  </si>
  <si>
    <t>Botas senderismo</t>
  </si>
  <si>
    <t>Málaga</t>
  </si>
  <si>
    <t>Reloj GPS</t>
  </si>
  <si>
    <t>Botella térmica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</si>
</sst>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\ _€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/>
    <xf numFmtId="165" fontId="2" fillId="0" borderId="1" xfId="0" applyNumberFormat="1" applyFont="1" applyBorder="1"/>
    <xf numFmtId="165" fontId="0" fillId="0" borderId="0" xfId="0" applyNumberForma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Normal="100" workbookViewId="0">
      <pane ySplit="1" topLeftCell="A15" activePane="bottomLeft" state="frozen"/>
      <selection pane="bottomLeft" activeCell="G1" sqref="G1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22" customWidth="1"/>
    <col min="4" max="4" width="14" customWidth="1"/>
    <col min="5" max="5" width="10" customWidth="1"/>
    <col min="6" max="6" width="16" style="11" customWidth="1"/>
    <col min="7" max="7" width="14" customWidth="1"/>
    <col min="8" max="8" width="10" customWidth="1"/>
    <col min="9" max="9" width="12" customWidth="1"/>
    <col min="10" max="10" width="16" style="11" customWidth="1"/>
    <col min="11" max="12" width="14" style="11" customWidth="1"/>
    <col min="13" max="13" width="18" customWidth="1"/>
    <col min="14" max="14" width="12" customWidth="1"/>
  </cols>
  <sheetData>
    <row r="1" spans="1:14" ht="2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8" t="s">
        <v>11</v>
      </c>
      <c r="M1" s="1" t="s">
        <v>12</v>
      </c>
      <c r="N1" s="1" t="s">
        <v>13</v>
      </c>
    </row>
    <row r="2" spans="1:14" ht="15" customHeight="1" x14ac:dyDescent="0.2">
      <c r="A2" s="2">
        <v>1001</v>
      </c>
      <c r="B2" s="3">
        <v>45642</v>
      </c>
      <c r="C2" s="2" t="s">
        <v>35</v>
      </c>
      <c r="D2" s="2" t="s">
        <v>21</v>
      </c>
      <c r="E2" s="2">
        <v>2</v>
      </c>
      <c r="F2" s="9">
        <v>28.9</v>
      </c>
      <c r="G2" s="13" t="s">
        <v>30</v>
      </c>
      <c r="H2" s="2" t="s">
        <v>17</v>
      </c>
      <c r="I2" s="4">
        <v>5</v>
      </c>
      <c r="J2" s="9">
        <f t="shared" ref="J2:J33" si="0">E2*F2</f>
        <v>57.8</v>
      </c>
      <c r="K2" s="9">
        <v>26.01</v>
      </c>
      <c r="L2" s="9">
        <f t="shared" ref="L2:L33" si="1">J2-K2</f>
        <v>31.789999999999996</v>
      </c>
      <c r="M2" s="2" t="s">
        <v>24</v>
      </c>
      <c r="N2" s="12" t="s">
        <v>25</v>
      </c>
    </row>
    <row r="3" spans="1:14" ht="15" customHeight="1" x14ac:dyDescent="0.2">
      <c r="A3" s="2">
        <v>1002</v>
      </c>
      <c r="B3" s="3">
        <v>45583</v>
      </c>
      <c r="C3" s="2" t="s">
        <v>47</v>
      </c>
      <c r="D3" s="2" t="s">
        <v>21</v>
      </c>
      <c r="E3" s="2">
        <v>1</v>
      </c>
      <c r="F3" s="9">
        <v>23.45</v>
      </c>
      <c r="G3" s="2" t="s">
        <v>30</v>
      </c>
      <c r="H3" s="2" t="s">
        <v>33</v>
      </c>
      <c r="I3" s="4">
        <v>3</v>
      </c>
      <c r="J3" s="9">
        <f t="shared" si="0"/>
        <v>23.45</v>
      </c>
      <c r="K3" s="9">
        <v>9.3800000000000008</v>
      </c>
      <c r="L3" s="9">
        <f t="shared" si="1"/>
        <v>14.069999999999999</v>
      </c>
      <c r="M3" s="2" t="s">
        <v>24</v>
      </c>
      <c r="N3" s="12" t="s">
        <v>19</v>
      </c>
    </row>
    <row r="4" spans="1:14" ht="15" customHeight="1" x14ac:dyDescent="0.2">
      <c r="A4" s="2">
        <v>1003</v>
      </c>
      <c r="B4" s="3">
        <v>45653</v>
      </c>
      <c r="C4" s="2" t="s">
        <v>20</v>
      </c>
      <c r="D4" s="2" t="s">
        <v>21</v>
      </c>
      <c r="E4" s="2">
        <v>1</v>
      </c>
      <c r="F4" s="9">
        <v>19.55</v>
      </c>
      <c r="G4" s="2" t="s">
        <v>36</v>
      </c>
      <c r="H4" s="2" t="s">
        <v>23</v>
      </c>
      <c r="I4" s="4">
        <v>4</v>
      </c>
      <c r="J4" s="9">
        <f t="shared" si="0"/>
        <v>19.55</v>
      </c>
      <c r="K4" s="9">
        <v>5.87</v>
      </c>
      <c r="L4" s="9">
        <f t="shared" si="1"/>
        <v>13.68</v>
      </c>
      <c r="M4" s="2" t="s">
        <v>18</v>
      </c>
      <c r="N4" s="4" t="s">
        <v>25</v>
      </c>
    </row>
    <row r="5" spans="1:14" ht="15" customHeight="1" x14ac:dyDescent="0.2">
      <c r="A5" s="2">
        <v>1004</v>
      </c>
      <c r="B5" s="3">
        <v>45605</v>
      </c>
      <c r="C5" s="2" t="s">
        <v>14</v>
      </c>
      <c r="D5" s="2" t="s">
        <v>15</v>
      </c>
      <c r="E5" s="2">
        <v>1</v>
      </c>
      <c r="F5" s="9">
        <v>43.95</v>
      </c>
      <c r="G5" s="2" t="s">
        <v>30</v>
      </c>
      <c r="H5" s="2" t="s">
        <v>17</v>
      </c>
      <c r="I5" s="4">
        <v>3</v>
      </c>
      <c r="J5" s="9">
        <f t="shared" si="0"/>
        <v>43.95</v>
      </c>
      <c r="K5" s="9">
        <v>15.38</v>
      </c>
      <c r="L5" s="9">
        <f t="shared" si="1"/>
        <v>28.57</v>
      </c>
      <c r="M5" s="2" t="s">
        <v>34</v>
      </c>
      <c r="N5" s="4" t="s">
        <v>19</v>
      </c>
    </row>
    <row r="6" spans="1:14" ht="15" customHeight="1" x14ac:dyDescent="0.2">
      <c r="A6" s="5">
        <v>1005</v>
      </c>
      <c r="B6" s="6">
        <v>45481</v>
      </c>
      <c r="C6" s="5" t="s">
        <v>42</v>
      </c>
      <c r="D6" s="5" t="s">
        <v>21</v>
      </c>
      <c r="E6" s="5">
        <v>4</v>
      </c>
      <c r="F6" s="10">
        <v>56.45</v>
      </c>
      <c r="G6" s="5" t="s">
        <v>36</v>
      </c>
      <c r="H6" s="5" t="s">
        <v>33</v>
      </c>
      <c r="I6" s="7">
        <v>4</v>
      </c>
      <c r="J6" s="10">
        <f t="shared" si="0"/>
        <v>225.8</v>
      </c>
      <c r="K6" s="10">
        <v>112.9</v>
      </c>
      <c r="L6" s="10">
        <f t="shared" si="1"/>
        <v>112.9</v>
      </c>
      <c r="M6" s="5" t="s">
        <v>28</v>
      </c>
      <c r="N6" s="7" t="s">
        <v>25</v>
      </c>
    </row>
    <row r="7" spans="1:14" ht="15" customHeight="1" x14ac:dyDescent="0.2">
      <c r="A7" s="5">
        <v>1006</v>
      </c>
      <c r="B7" s="6">
        <v>45490</v>
      </c>
      <c r="C7" s="5" t="s">
        <v>29</v>
      </c>
      <c r="D7" s="5" t="s">
        <v>27</v>
      </c>
      <c r="E7" s="5">
        <v>2</v>
      </c>
      <c r="F7" s="10">
        <v>108</v>
      </c>
      <c r="G7" s="5" t="s">
        <v>45</v>
      </c>
      <c r="H7" s="5" t="s">
        <v>23</v>
      </c>
      <c r="I7" s="7">
        <v>3</v>
      </c>
      <c r="J7" s="10">
        <f t="shared" si="0"/>
        <v>216</v>
      </c>
      <c r="K7" s="10">
        <v>97.2</v>
      </c>
      <c r="L7" s="10">
        <f t="shared" si="1"/>
        <v>118.8</v>
      </c>
      <c r="M7" s="5" t="s">
        <v>24</v>
      </c>
      <c r="N7" s="7" t="s">
        <v>25</v>
      </c>
    </row>
    <row r="8" spans="1:14" ht="15" customHeight="1" x14ac:dyDescent="0.2">
      <c r="A8" s="5">
        <v>1007</v>
      </c>
      <c r="B8" s="6">
        <v>45607</v>
      </c>
      <c r="C8" s="5" t="s">
        <v>41</v>
      </c>
      <c r="D8" s="5" t="s">
        <v>15</v>
      </c>
      <c r="E8" s="5">
        <v>1</v>
      </c>
      <c r="F8" s="10">
        <v>65.55</v>
      </c>
      <c r="G8" s="5" t="s">
        <v>22</v>
      </c>
      <c r="H8" s="5" t="s">
        <v>33</v>
      </c>
      <c r="I8" s="7">
        <v>4</v>
      </c>
      <c r="J8" s="10">
        <f t="shared" si="0"/>
        <v>65.55</v>
      </c>
      <c r="K8" s="10">
        <v>27.53</v>
      </c>
      <c r="L8" s="10">
        <f t="shared" si="1"/>
        <v>38.019999999999996</v>
      </c>
      <c r="M8" s="5" t="s">
        <v>24</v>
      </c>
      <c r="N8" s="7" t="s">
        <v>25</v>
      </c>
    </row>
    <row r="9" spans="1:14" ht="15" customHeight="1" x14ac:dyDescent="0.2">
      <c r="A9" s="2">
        <v>1008</v>
      </c>
      <c r="B9" s="3">
        <v>45408</v>
      </c>
      <c r="C9" s="2" t="s">
        <v>14</v>
      </c>
      <c r="D9" s="2" t="s">
        <v>15</v>
      </c>
      <c r="E9" s="2">
        <v>1</v>
      </c>
      <c r="F9" s="9">
        <v>24.1</v>
      </c>
      <c r="G9" s="2" t="s">
        <v>45</v>
      </c>
      <c r="H9" s="2" t="s">
        <v>33</v>
      </c>
      <c r="I9" s="4">
        <v>4</v>
      </c>
      <c r="J9" s="9">
        <f t="shared" si="0"/>
        <v>24.1</v>
      </c>
      <c r="K9" s="9">
        <v>8.44</v>
      </c>
      <c r="L9" s="9">
        <f t="shared" si="1"/>
        <v>15.660000000000002</v>
      </c>
      <c r="M9" s="2" t="s">
        <v>28</v>
      </c>
      <c r="N9" s="4" t="s">
        <v>19</v>
      </c>
    </row>
    <row r="10" spans="1:14" ht="15" customHeight="1" x14ac:dyDescent="0.2">
      <c r="A10" s="2">
        <v>1009</v>
      </c>
      <c r="B10" s="3">
        <v>45404</v>
      </c>
      <c r="C10" s="2" t="s">
        <v>31</v>
      </c>
      <c r="D10" s="13" t="s">
        <v>32</v>
      </c>
      <c r="E10" s="2">
        <v>2</v>
      </c>
      <c r="F10" s="9">
        <v>32.799999999999997</v>
      </c>
      <c r="G10" s="2" t="s">
        <v>43</v>
      </c>
      <c r="H10" s="2" t="s">
        <v>17</v>
      </c>
      <c r="I10" s="4">
        <v>5</v>
      </c>
      <c r="J10" s="9">
        <f t="shared" si="0"/>
        <v>65.599999999999994</v>
      </c>
      <c r="K10" s="9">
        <v>32.799999999999997</v>
      </c>
      <c r="L10" s="9">
        <f t="shared" si="1"/>
        <v>32.799999999999997</v>
      </c>
      <c r="M10" s="2" t="s">
        <v>24</v>
      </c>
      <c r="N10" s="4" t="s">
        <v>25</v>
      </c>
    </row>
    <row r="11" spans="1:14" ht="15" customHeight="1" x14ac:dyDescent="0.2">
      <c r="A11" s="2">
        <v>1010</v>
      </c>
      <c r="B11" s="3">
        <v>45369</v>
      </c>
      <c r="C11" s="2" t="s">
        <v>46</v>
      </c>
      <c r="D11" s="13" t="s">
        <v>32</v>
      </c>
      <c r="E11" s="2">
        <v>2</v>
      </c>
      <c r="F11" s="9">
        <v>192.4</v>
      </c>
      <c r="G11" s="2" t="s">
        <v>36</v>
      </c>
      <c r="H11" s="2" t="s">
        <v>23</v>
      </c>
      <c r="I11" s="4">
        <v>3</v>
      </c>
      <c r="J11" s="9">
        <f t="shared" si="0"/>
        <v>384.8</v>
      </c>
      <c r="K11" s="9">
        <v>211.64</v>
      </c>
      <c r="L11" s="9">
        <f t="shared" si="1"/>
        <v>173.16000000000003</v>
      </c>
      <c r="M11" s="2" t="s">
        <v>39</v>
      </c>
      <c r="N11" s="4" t="s">
        <v>25</v>
      </c>
    </row>
    <row r="12" spans="1:14" ht="15" customHeight="1" x14ac:dyDescent="0.2">
      <c r="A12" s="5">
        <v>1011</v>
      </c>
      <c r="B12" s="6">
        <v>45408</v>
      </c>
      <c r="C12" s="5" t="s">
        <v>20</v>
      </c>
      <c r="D12" s="14" t="s">
        <v>21</v>
      </c>
      <c r="E12" s="5">
        <v>2</v>
      </c>
      <c r="F12" s="10">
        <v>21.7</v>
      </c>
      <c r="G12" s="5" t="s">
        <v>36</v>
      </c>
      <c r="H12" s="5" t="s">
        <v>33</v>
      </c>
      <c r="I12" s="7">
        <v>5</v>
      </c>
      <c r="J12" s="10">
        <f t="shared" si="0"/>
        <v>43.4</v>
      </c>
      <c r="K12" s="10">
        <v>13.02</v>
      </c>
      <c r="L12" s="10">
        <f t="shared" si="1"/>
        <v>30.38</v>
      </c>
      <c r="M12" s="5" t="s">
        <v>34</v>
      </c>
      <c r="N12" s="7" t="s">
        <v>25</v>
      </c>
    </row>
    <row r="13" spans="1:14" ht="15" customHeight="1" x14ac:dyDescent="0.2">
      <c r="A13" s="5">
        <v>1012</v>
      </c>
      <c r="B13" s="6">
        <v>45601</v>
      </c>
      <c r="C13" s="5" t="s">
        <v>42</v>
      </c>
      <c r="D13" s="5" t="s">
        <v>21</v>
      </c>
      <c r="E13" s="5">
        <v>1</v>
      </c>
      <c r="F13" s="10">
        <v>38.65</v>
      </c>
      <c r="G13" s="5" t="s">
        <v>30</v>
      </c>
      <c r="H13" s="5" t="s">
        <v>33</v>
      </c>
      <c r="I13" s="7">
        <v>2</v>
      </c>
      <c r="J13" s="10">
        <f t="shared" si="0"/>
        <v>38.65</v>
      </c>
      <c r="K13" s="10">
        <v>19.32</v>
      </c>
      <c r="L13" s="10">
        <f t="shared" si="1"/>
        <v>19.329999999999998</v>
      </c>
      <c r="M13" s="5" t="s">
        <v>39</v>
      </c>
      <c r="N13" s="7" t="s">
        <v>25</v>
      </c>
    </row>
    <row r="14" spans="1:14" ht="15" customHeight="1" x14ac:dyDescent="0.2">
      <c r="A14" s="5">
        <v>1013</v>
      </c>
      <c r="B14" s="6">
        <v>45645</v>
      </c>
      <c r="C14" s="5" t="s">
        <v>42</v>
      </c>
      <c r="D14" s="5" t="s">
        <v>21</v>
      </c>
      <c r="E14" s="5">
        <v>4</v>
      </c>
      <c r="F14" s="10">
        <v>56.15</v>
      </c>
      <c r="G14" s="5" t="s">
        <v>43</v>
      </c>
      <c r="H14" s="5" t="s">
        <v>17</v>
      </c>
      <c r="I14" s="7">
        <v>5</v>
      </c>
      <c r="J14" s="10">
        <f t="shared" si="0"/>
        <v>224.6</v>
      </c>
      <c r="K14" s="10">
        <v>112.3</v>
      </c>
      <c r="L14" s="10">
        <f t="shared" si="1"/>
        <v>112.3</v>
      </c>
      <c r="M14" s="5" t="s">
        <v>24</v>
      </c>
      <c r="N14" s="7" t="s">
        <v>25</v>
      </c>
    </row>
    <row r="15" spans="1:14" ht="15" customHeight="1" x14ac:dyDescent="0.2">
      <c r="A15" s="5">
        <v>1014</v>
      </c>
      <c r="B15" s="6">
        <v>45552</v>
      </c>
      <c r="C15" s="5" t="s">
        <v>31</v>
      </c>
      <c r="D15" s="5" t="s">
        <v>32</v>
      </c>
      <c r="E15" s="5">
        <v>1</v>
      </c>
      <c r="F15" s="10">
        <v>62.05</v>
      </c>
      <c r="G15" s="5" t="s">
        <v>36</v>
      </c>
      <c r="H15" s="5" t="s">
        <v>33</v>
      </c>
      <c r="I15" s="7">
        <v>5</v>
      </c>
      <c r="J15" s="10">
        <f t="shared" si="0"/>
        <v>62.05</v>
      </c>
      <c r="K15" s="10">
        <v>31.02</v>
      </c>
      <c r="L15" s="10">
        <f t="shared" si="1"/>
        <v>31.029999999999998</v>
      </c>
      <c r="M15" s="5" t="s">
        <v>34</v>
      </c>
      <c r="N15" s="7" t="s">
        <v>25</v>
      </c>
    </row>
    <row r="16" spans="1:14" ht="15" customHeight="1" x14ac:dyDescent="0.2">
      <c r="A16" s="2">
        <v>1015</v>
      </c>
      <c r="B16" s="3">
        <v>45487</v>
      </c>
      <c r="C16" s="2" t="s">
        <v>26</v>
      </c>
      <c r="D16" s="2" t="s">
        <v>27</v>
      </c>
      <c r="E16" s="2">
        <v>1</v>
      </c>
      <c r="F16" s="9">
        <v>140.94999999999999</v>
      </c>
      <c r="G16" s="2" t="s">
        <v>22</v>
      </c>
      <c r="H16" s="2" t="s">
        <v>33</v>
      </c>
      <c r="I16" s="4">
        <v>5</v>
      </c>
      <c r="J16" s="9">
        <f t="shared" si="0"/>
        <v>140.94999999999999</v>
      </c>
      <c r="K16" s="9">
        <v>67.66</v>
      </c>
      <c r="L16" s="9">
        <f t="shared" si="1"/>
        <v>73.289999999999992</v>
      </c>
      <c r="M16" s="2" t="s">
        <v>18</v>
      </c>
      <c r="N16" s="4" t="s">
        <v>25</v>
      </c>
    </row>
    <row r="17" spans="1:14" ht="15" customHeight="1" x14ac:dyDescent="0.2">
      <c r="A17" s="2">
        <v>1016</v>
      </c>
      <c r="B17" s="3">
        <v>45481</v>
      </c>
      <c r="C17" s="2" t="s">
        <v>31</v>
      </c>
      <c r="D17" s="2" t="s">
        <v>32</v>
      </c>
      <c r="E17" s="2">
        <v>3</v>
      </c>
      <c r="F17" s="9">
        <v>76.099999999999994</v>
      </c>
      <c r="G17" s="2" t="s">
        <v>16</v>
      </c>
      <c r="H17" s="2" t="s">
        <v>33</v>
      </c>
      <c r="I17" s="4">
        <v>5</v>
      </c>
      <c r="J17" s="9">
        <f t="shared" si="0"/>
        <v>228.29999999999998</v>
      </c>
      <c r="K17" s="9">
        <v>114.15</v>
      </c>
      <c r="L17" s="9">
        <f t="shared" si="1"/>
        <v>114.14999999999998</v>
      </c>
      <c r="M17" s="2" t="s">
        <v>24</v>
      </c>
      <c r="N17" s="4" t="s">
        <v>25</v>
      </c>
    </row>
    <row r="18" spans="1:14" ht="15" customHeight="1" x14ac:dyDescent="0.2">
      <c r="A18" s="5">
        <v>1017</v>
      </c>
      <c r="B18" s="6">
        <v>45331</v>
      </c>
      <c r="C18" s="5" t="s">
        <v>40</v>
      </c>
      <c r="D18" s="5" t="s">
        <v>15</v>
      </c>
      <c r="E18" s="5">
        <v>1</v>
      </c>
      <c r="F18" s="10">
        <v>31</v>
      </c>
      <c r="G18" s="5" t="s">
        <v>16</v>
      </c>
      <c r="H18" s="5" t="s">
        <v>17</v>
      </c>
      <c r="I18" s="7">
        <v>5</v>
      </c>
      <c r="J18" s="10">
        <f t="shared" si="0"/>
        <v>31</v>
      </c>
      <c r="K18" s="10">
        <v>11.78</v>
      </c>
      <c r="L18" s="10">
        <f t="shared" si="1"/>
        <v>19.22</v>
      </c>
      <c r="M18" s="5" t="s">
        <v>39</v>
      </c>
      <c r="N18" s="7" t="s">
        <v>25</v>
      </c>
    </row>
    <row r="19" spans="1:14" ht="15" customHeight="1" x14ac:dyDescent="0.2">
      <c r="A19" s="2">
        <v>1018</v>
      </c>
      <c r="B19" s="3">
        <v>45512</v>
      </c>
      <c r="C19" s="2" t="s">
        <v>44</v>
      </c>
      <c r="D19" s="2" t="s">
        <v>27</v>
      </c>
      <c r="E19" s="2">
        <v>1</v>
      </c>
      <c r="F19" s="9">
        <v>99</v>
      </c>
      <c r="G19" s="2" t="s">
        <v>16</v>
      </c>
      <c r="H19" s="2" t="s">
        <v>17</v>
      </c>
      <c r="I19" s="4">
        <v>5</v>
      </c>
      <c r="J19" s="9">
        <f t="shared" si="0"/>
        <v>99</v>
      </c>
      <c r="K19" s="9">
        <v>49.5</v>
      </c>
      <c r="L19" s="9">
        <f t="shared" si="1"/>
        <v>49.5</v>
      </c>
      <c r="M19" s="2" t="s">
        <v>28</v>
      </c>
      <c r="N19" s="4" t="s">
        <v>25</v>
      </c>
    </row>
    <row r="20" spans="1:14" ht="15" customHeight="1" x14ac:dyDescent="0.2">
      <c r="A20" s="5">
        <v>1019</v>
      </c>
      <c r="B20" s="6">
        <v>45520</v>
      </c>
      <c r="C20" s="5" t="s">
        <v>31</v>
      </c>
      <c r="D20" s="5" t="s">
        <v>32</v>
      </c>
      <c r="E20" s="5">
        <v>1</v>
      </c>
      <c r="F20" s="10">
        <v>66.5</v>
      </c>
      <c r="G20" s="5" t="s">
        <v>36</v>
      </c>
      <c r="H20" s="5" t="s">
        <v>23</v>
      </c>
      <c r="I20" s="7">
        <v>5</v>
      </c>
      <c r="J20" s="10">
        <f t="shared" si="0"/>
        <v>66.5</v>
      </c>
      <c r="K20" s="10">
        <v>33.25</v>
      </c>
      <c r="L20" s="10">
        <f t="shared" si="1"/>
        <v>33.25</v>
      </c>
      <c r="M20" s="5" t="s">
        <v>34</v>
      </c>
      <c r="N20" s="7" t="s">
        <v>25</v>
      </c>
    </row>
    <row r="21" spans="1:14" ht="15" customHeight="1" x14ac:dyDescent="0.2">
      <c r="A21" s="2">
        <v>1020</v>
      </c>
      <c r="B21" s="3">
        <v>45299</v>
      </c>
      <c r="C21" s="2" t="s">
        <v>14</v>
      </c>
      <c r="D21" s="2" t="s">
        <v>15</v>
      </c>
      <c r="E21" s="2">
        <v>1</v>
      </c>
      <c r="F21" s="9">
        <v>25.6</v>
      </c>
      <c r="G21" s="2" t="s">
        <v>16</v>
      </c>
      <c r="H21" s="2" t="s">
        <v>17</v>
      </c>
      <c r="I21" s="4">
        <v>2</v>
      </c>
      <c r="J21" s="9">
        <f t="shared" si="0"/>
        <v>25.6</v>
      </c>
      <c r="K21" s="9">
        <v>8.9600000000000009</v>
      </c>
      <c r="L21" s="9">
        <f t="shared" si="1"/>
        <v>16.64</v>
      </c>
      <c r="M21" s="2" t="s">
        <v>18</v>
      </c>
      <c r="N21" s="4" t="s">
        <v>19</v>
      </c>
    </row>
    <row r="22" spans="1:14" ht="15" customHeight="1" x14ac:dyDescent="0.2">
      <c r="A22" s="2">
        <v>1021</v>
      </c>
      <c r="B22" s="3">
        <v>45638</v>
      </c>
      <c r="C22" s="2" t="s">
        <v>14</v>
      </c>
      <c r="D22" s="2" t="s">
        <v>15</v>
      </c>
      <c r="E22" s="2">
        <v>1</v>
      </c>
      <c r="F22" s="9">
        <v>21.7</v>
      </c>
      <c r="G22" s="2" t="s">
        <v>36</v>
      </c>
      <c r="H22" s="2" t="s">
        <v>33</v>
      </c>
      <c r="I22" s="4">
        <v>4</v>
      </c>
      <c r="J22" s="9">
        <f t="shared" si="0"/>
        <v>21.7</v>
      </c>
      <c r="K22" s="9">
        <v>7.59</v>
      </c>
      <c r="L22" s="9">
        <f t="shared" si="1"/>
        <v>14.11</v>
      </c>
      <c r="M22" s="2" t="s">
        <v>34</v>
      </c>
      <c r="N22" s="4" t="s">
        <v>25</v>
      </c>
    </row>
    <row r="23" spans="1:14" ht="15" customHeight="1" x14ac:dyDescent="0.2">
      <c r="A23" s="5">
        <v>1022</v>
      </c>
      <c r="B23" s="6">
        <v>45393</v>
      </c>
      <c r="C23" s="5" t="s">
        <v>46</v>
      </c>
      <c r="D23" s="5" t="s">
        <v>32</v>
      </c>
      <c r="E23" s="5">
        <v>1</v>
      </c>
      <c r="F23" s="10">
        <v>335.15</v>
      </c>
      <c r="G23" s="5" t="s">
        <v>16</v>
      </c>
      <c r="H23" s="5" t="s">
        <v>23</v>
      </c>
      <c r="I23" s="7">
        <v>2</v>
      </c>
      <c r="J23" s="10">
        <f t="shared" si="0"/>
        <v>335.15</v>
      </c>
      <c r="K23" s="10">
        <v>184.33</v>
      </c>
      <c r="L23" s="10">
        <f t="shared" si="1"/>
        <v>150.81999999999996</v>
      </c>
      <c r="M23" s="5" t="s">
        <v>39</v>
      </c>
      <c r="N23" s="7" t="s">
        <v>19</v>
      </c>
    </row>
    <row r="24" spans="1:14" ht="15" customHeight="1" x14ac:dyDescent="0.2">
      <c r="A24" s="5">
        <v>1023</v>
      </c>
      <c r="B24" s="6">
        <v>45327</v>
      </c>
      <c r="C24" s="5" t="s">
        <v>41</v>
      </c>
      <c r="D24" s="5" t="s">
        <v>15</v>
      </c>
      <c r="E24" s="5">
        <v>1</v>
      </c>
      <c r="F24" s="10">
        <v>82.55</v>
      </c>
      <c r="G24" s="5" t="s">
        <v>22</v>
      </c>
      <c r="H24" s="5" t="s">
        <v>33</v>
      </c>
      <c r="I24" s="7">
        <v>4</v>
      </c>
      <c r="J24" s="10">
        <f t="shared" si="0"/>
        <v>82.55</v>
      </c>
      <c r="K24" s="10">
        <v>34.67</v>
      </c>
      <c r="L24" s="10">
        <f t="shared" si="1"/>
        <v>47.879999999999995</v>
      </c>
      <c r="M24" s="5" t="s">
        <v>24</v>
      </c>
      <c r="N24" s="7" t="s">
        <v>25</v>
      </c>
    </row>
    <row r="25" spans="1:14" ht="15" customHeight="1" x14ac:dyDescent="0.2">
      <c r="A25" s="5">
        <v>1024</v>
      </c>
      <c r="B25" s="6">
        <v>45438</v>
      </c>
      <c r="C25" s="5" t="s">
        <v>38</v>
      </c>
      <c r="D25" s="5" t="s">
        <v>32</v>
      </c>
      <c r="E25" s="5">
        <v>1</v>
      </c>
      <c r="F25" s="10">
        <v>45.45</v>
      </c>
      <c r="G25" s="5" t="s">
        <v>16</v>
      </c>
      <c r="H25" s="5" t="s">
        <v>17</v>
      </c>
      <c r="I25" s="7">
        <v>4</v>
      </c>
      <c r="J25" s="10">
        <f t="shared" si="0"/>
        <v>45.45</v>
      </c>
      <c r="K25" s="10">
        <v>23.63</v>
      </c>
      <c r="L25" s="10">
        <f t="shared" si="1"/>
        <v>21.820000000000004</v>
      </c>
      <c r="M25" s="5" t="s">
        <v>18</v>
      </c>
      <c r="N25" s="7" t="s">
        <v>25</v>
      </c>
    </row>
    <row r="26" spans="1:14" ht="15" customHeight="1" x14ac:dyDescent="0.2">
      <c r="A26" s="2">
        <v>1025</v>
      </c>
      <c r="B26" s="3">
        <v>45303</v>
      </c>
      <c r="C26" s="2" t="s">
        <v>26</v>
      </c>
      <c r="D26" s="2" t="s">
        <v>27</v>
      </c>
      <c r="E26" s="2">
        <v>3</v>
      </c>
      <c r="F26" s="9">
        <v>111</v>
      </c>
      <c r="G26" s="2" t="s">
        <v>16</v>
      </c>
      <c r="H26" s="2" t="s">
        <v>17</v>
      </c>
      <c r="I26" s="4">
        <v>5</v>
      </c>
      <c r="J26" s="9">
        <f t="shared" si="0"/>
        <v>333</v>
      </c>
      <c r="K26" s="9">
        <v>159.84</v>
      </c>
      <c r="L26" s="9">
        <f t="shared" si="1"/>
        <v>173.16</v>
      </c>
      <c r="M26" s="2" t="s">
        <v>28</v>
      </c>
      <c r="N26" s="4" t="s">
        <v>25</v>
      </c>
    </row>
    <row r="27" spans="1:14" ht="15" customHeight="1" x14ac:dyDescent="0.2">
      <c r="A27" s="2">
        <v>1026</v>
      </c>
      <c r="B27" s="3">
        <v>45380</v>
      </c>
      <c r="C27" s="2" t="s">
        <v>38</v>
      </c>
      <c r="D27" s="2" t="s">
        <v>32</v>
      </c>
      <c r="E27" s="2">
        <v>1</v>
      </c>
      <c r="F27" s="9">
        <v>51.8</v>
      </c>
      <c r="G27" s="2" t="s">
        <v>16</v>
      </c>
      <c r="H27" s="2" t="s">
        <v>23</v>
      </c>
      <c r="I27" s="4">
        <v>4</v>
      </c>
      <c r="J27" s="9">
        <f t="shared" si="0"/>
        <v>51.8</v>
      </c>
      <c r="K27" s="9">
        <v>26.94</v>
      </c>
      <c r="L27" s="9">
        <f t="shared" si="1"/>
        <v>24.859999999999996</v>
      </c>
      <c r="M27" s="2" t="s">
        <v>24</v>
      </c>
      <c r="N27" s="4" t="s">
        <v>25</v>
      </c>
    </row>
    <row r="28" spans="1:14" ht="15" customHeight="1" x14ac:dyDescent="0.2">
      <c r="A28" s="2">
        <v>1027</v>
      </c>
      <c r="B28" s="3">
        <v>45634</v>
      </c>
      <c r="C28" s="2" t="s">
        <v>40</v>
      </c>
      <c r="D28" s="2" t="s">
        <v>15</v>
      </c>
      <c r="E28" s="2">
        <v>2</v>
      </c>
      <c r="F28" s="9">
        <v>48.15</v>
      </c>
      <c r="G28" s="2" t="s">
        <v>36</v>
      </c>
      <c r="H28" s="2" t="s">
        <v>33</v>
      </c>
      <c r="I28" s="4">
        <v>5</v>
      </c>
      <c r="J28" s="9">
        <f t="shared" si="0"/>
        <v>96.3</v>
      </c>
      <c r="K28" s="9">
        <v>36.590000000000003</v>
      </c>
      <c r="L28" s="9">
        <f t="shared" si="1"/>
        <v>59.709999999999994</v>
      </c>
      <c r="M28" s="2" t="s">
        <v>28</v>
      </c>
      <c r="N28" s="4" t="s">
        <v>25</v>
      </c>
    </row>
    <row r="29" spans="1:14" ht="15" customHeight="1" x14ac:dyDescent="0.2">
      <c r="A29" s="2">
        <v>1028</v>
      </c>
      <c r="B29" s="3">
        <v>45325</v>
      </c>
      <c r="C29" s="2" t="s">
        <v>40</v>
      </c>
      <c r="D29" s="2" t="s">
        <v>15</v>
      </c>
      <c r="E29" s="2">
        <v>1</v>
      </c>
      <c r="F29" s="9">
        <v>30.45</v>
      </c>
      <c r="G29" s="2" t="s">
        <v>22</v>
      </c>
      <c r="H29" s="2" t="s">
        <v>17</v>
      </c>
      <c r="I29" s="4">
        <v>2</v>
      </c>
      <c r="J29" s="9">
        <f t="shared" si="0"/>
        <v>30.45</v>
      </c>
      <c r="K29" s="9">
        <v>11.57</v>
      </c>
      <c r="L29" s="9">
        <f t="shared" si="1"/>
        <v>18.88</v>
      </c>
      <c r="M29" s="2" t="s">
        <v>34</v>
      </c>
      <c r="N29" s="4" t="s">
        <v>25</v>
      </c>
    </row>
    <row r="30" spans="1:14" ht="15" customHeight="1" x14ac:dyDescent="0.2">
      <c r="A30" s="2">
        <v>1029</v>
      </c>
      <c r="B30" s="3">
        <v>45600</v>
      </c>
      <c r="C30" s="2" t="s">
        <v>38</v>
      </c>
      <c r="D30" s="2" t="s">
        <v>32</v>
      </c>
      <c r="E30" s="2">
        <v>1</v>
      </c>
      <c r="F30" s="9">
        <v>66.55</v>
      </c>
      <c r="G30" s="2" t="s">
        <v>16</v>
      </c>
      <c r="H30" s="2" t="s">
        <v>23</v>
      </c>
      <c r="I30" s="4">
        <v>2</v>
      </c>
      <c r="J30" s="9">
        <f t="shared" si="0"/>
        <v>66.55</v>
      </c>
      <c r="K30" s="9">
        <v>34.61</v>
      </c>
      <c r="L30" s="9">
        <f t="shared" si="1"/>
        <v>31.939999999999998</v>
      </c>
      <c r="M30" s="2" t="s">
        <v>24</v>
      </c>
      <c r="N30" s="4" t="s">
        <v>25</v>
      </c>
    </row>
    <row r="31" spans="1:14" ht="15" customHeight="1" x14ac:dyDescent="0.2">
      <c r="A31" s="2">
        <v>1030</v>
      </c>
      <c r="B31" s="3">
        <v>45337</v>
      </c>
      <c r="C31" s="2" t="s">
        <v>37</v>
      </c>
      <c r="D31" s="2" t="s">
        <v>15</v>
      </c>
      <c r="E31" s="2">
        <v>3</v>
      </c>
      <c r="F31" s="9">
        <v>34.200000000000003</v>
      </c>
      <c r="G31" s="2" t="s">
        <v>30</v>
      </c>
      <c r="H31" s="2" t="s">
        <v>33</v>
      </c>
      <c r="I31" s="4">
        <v>4</v>
      </c>
      <c r="J31" s="9">
        <f t="shared" si="0"/>
        <v>102.60000000000001</v>
      </c>
      <c r="K31" s="9">
        <v>41.04</v>
      </c>
      <c r="L31" s="9">
        <f t="shared" si="1"/>
        <v>61.560000000000009</v>
      </c>
      <c r="M31" s="2" t="s">
        <v>28</v>
      </c>
      <c r="N31" s="4" t="s">
        <v>25</v>
      </c>
    </row>
    <row r="32" spans="1:14" ht="15" customHeight="1" x14ac:dyDescent="0.2">
      <c r="A32" s="2">
        <v>1031</v>
      </c>
      <c r="B32" s="3">
        <v>45498</v>
      </c>
      <c r="C32" s="2" t="s">
        <v>20</v>
      </c>
      <c r="D32" s="2" t="s">
        <v>21</v>
      </c>
      <c r="E32" s="2">
        <v>1</v>
      </c>
      <c r="F32" s="9">
        <v>17.7</v>
      </c>
      <c r="G32" s="2" t="s">
        <v>22</v>
      </c>
      <c r="H32" s="2" t="s">
        <v>17</v>
      </c>
      <c r="I32" s="4">
        <v>3</v>
      </c>
      <c r="J32" s="9">
        <f t="shared" si="0"/>
        <v>17.7</v>
      </c>
      <c r="K32" s="9">
        <v>5.31</v>
      </c>
      <c r="L32" s="9">
        <f t="shared" si="1"/>
        <v>12.39</v>
      </c>
      <c r="M32" s="2" t="s">
        <v>34</v>
      </c>
      <c r="N32" s="4" t="s">
        <v>25</v>
      </c>
    </row>
    <row r="33" spans="1:14" ht="15" customHeight="1" x14ac:dyDescent="0.2">
      <c r="A33" s="2">
        <v>1032</v>
      </c>
      <c r="B33" s="3">
        <v>45347</v>
      </c>
      <c r="C33" s="2" t="s">
        <v>42</v>
      </c>
      <c r="D33" s="2" t="s">
        <v>21</v>
      </c>
      <c r="E33" s="2">
        <v>2</v>
      </c>
      <c r="F33" s="9">
        <v>47.65</v>
      </c>
      <c r="G33" s="2" t="s">
        <v>30</v>
      </c>
      <c r="H33" s="2" t="s">
        <v>33</v>
      </c>
      <c r="I33" s="4">
        <v>2</v>
      </c>
      <c r="J33" s="9">
        <f t="shared" si="0"/>
        <v>95.3</v>
      </c>
      <c r="K33" s="9">
        <v>47.65</v>
      </c>
      <c r="L33" s="9">
        <f t="shared" si="1"/>
        <v>47.65</v>
      </c>
      <c r="M33" s="2" t="s">
        <v>28</v>
      </c>
      <c r="N33" s="4" t="s">
        <v>19</v>
      </c>
    </row>
    <row r="34" spans="1:14" ht="15" customHeight="1" x14ac:dyDescent="0.2">
      <c r="A34" s="5">
        <v>1033</v>
      </c>
      <c r="B34" s="6">
        <v>45376</v>
      </c>
      <c r="C34" s="5" t="s">
        <v>40</v>
      </c>
      <c r="D34" s="5" t="s">
        <v>15</v>
      </c>
      <c r="E34" s="5">
        <v>1</v>
      </c>
      <c r="F34" s="10">
        <v>28.3</v>
      </c>
      <c r="G34" s="5" t="s">
        <v>30</v>
      </c>
      <c r="H34" s="5" t="s">
        <v>17</v>
      </c>
      <c r="I34" s="7">
        <v>4</v>
      </c>
      <c r="J34" s="10">
        <f t="shared" ref="J34:J65" si="2">E34*F34</f>
        <v>28.3</v>
      </c>
      <c r="K34" s="10">
        <v>10.75</v>
      </c>
      <c r="L34" s="10">
        <f t="shared" ref="L34:L65" si="3">J34-K34</f>
        <v>17.55</v>
      </c>
      <c r="M34" s="5" t="s">
        <v>34</v>
      </c>
      <c r="N34" s="7" t="s">
        <v>25</v>
      </c>
    </row>
    <row r="35" spans="1:14" ht="15" customHeight="1" x14ac:dyDescent="0.2">
      <c r="A35" s="5">
        <v>1034</v>
      </c>
      <c r="B35" s="6">
        <v>45449</v>
      </c>
      <c r="C35" s="5" t="s">
        <v>40</v>
      </c>
      <c r="D35" s="5" t="s">
        <v>15</v>
      </c>
      <c r="E35" s="5">
        <v>5</v>
      </c>
      <c r="F35" s="10">
        <v>40.299999999999997</v>
      </c>
      <c r="G35" s="5" t="s">
        <v>22</v>
      </c>
      <c r="H35" s="5" t="s">
        <v>17</v>
      </c>
      <c r="I35" s="7">
        <v>5</v>
      </c>
      <c r="J35" s="10">
        <f t="shared" si="2"/>
        <v>201.5</v>
      </c>
      <c r="K35" s="10">
        <v>76.569999999999993</v>
      </c>
      <c r="L35" s="10">
        <f t="shared" si="3"/>
        <v>124.93</v>
      </c>
      <c r="M35" s="5" t="s">
        <v>28</v>
      </c>
      <c r="N35" s="7" t="s">
        <v>25</v>
      </c>
    </row>
    <row r="36" spans="1:14" ht="15" customHeight="1" x14ac:dyDescent="0.2">
      <c r="A36" s="5">
        <v>1035</v>
      </c>
      <c r="B36" s="6">
        <v>45605</v>
      </c>
      <c r="C36" s="5" t="s">
        <v>44</v>
      </c>
      <c r="D36" s="5" t="s">
        <v>27</v>
      </c>
      <c r="E36" s="5">
        <v>3</v>
      </c>
      <c r="F36" s="10">
        <v>108.5</v>
      </c>
      <c r="G36" s="5" t="s">
        <v>22</v>
      </c>
      <c r="H36" s="5" t="s">
        <v>17</v>
      </c>
      <c r="I36" s="7">
        <v>3</v>
      </c>
      <c r="J36" s="10">
        <f t="shared" si="2"/>
        <v>325.5</v>
      </c>
      <c r="K36" s="10">
        <v>162.75</v>
      </c>
      <c r="L36" s="10">
        <f t="shared" si="3"/>
        <v>162.75</v>
      </c>
      <c r="M36" s="5" t="s">
        <v>34</v>
      </c>
      <c r="N36" s="7" t="s">
        <v>25</v>
      </c>
    </row>
    <row r="37" spans="1:14" ht="15" customHeight="1" x14ac:dyDescent="0.2">
      <c r="A37" s="5">
        <v>1036</v>
      </c>
      <c r="B37" s="6">
        <v>45343</v>
      </c>
      <c r="C37" s="5" t="s">
        <v>35</v>
      </c>
      <c r="D37" s="5" t="s">
        <v>21</v>
      </c>
      <c r="E37" s="5">
        <v>1</v>
      </c>
      <c r="F37" s="10">
        <v>47.2</v>
      </c>
      <c r="G37" s="5" t="s">
        <v>16</v>
      </c>
      <c r="H37" s="5" t="s">
        <v>23</v>
      </c>
      <c r="I37" s="7">
        <v>4</v>
      </c>
      <c r="J37" s="10">
        <f t="shared" si="2"/>
        <v>47.2</v>
      </c>
      <c r="K37" s="10">
        <v>21.24</v>
      </c>
      <c r="L37" s="10">
        <f t="shared" si="3"/>
        <v>25.960000000000004</v>
      </c>
      <c r="M37" s="5" t="s">
        <v>24</v>
      </c>
      <c r="N37" s="7" t="s">
        <v>25</v>
      </c>
    </row>
    <row r="38" spans="1:14" ht="15" customHeight="1" x14ac:dyDescent="0.2">
      <c r="A38" s="5">
        <v>1037</v>
      </c>
      <c r="B38" s="6">
        <v>45578</v>
      </c>
      <c r="C38" s="5" t="s">
        <v>29</v>
      </c>
      <c r="D38" s="5" t="s">
        <v>27</v>
      </c>
      <c r="E38" s="5">
        <v>2</v>
      </c>
      <c r="F38" s="10">
        <v>65.25</v>
      </c>
      <c r="G38" s="5" t="s">
        <v>22</v>
      </c>
      <c r="H38" s="5" t="s">
        <v>17</v>
      </c>
      <c r="I38" s="7">
        <v>4</v>
      </c>
      <c r="J38" s="10">
        <f t="shared" si="2"/>
        <v>130.5</v>
      </c>
      <c r="K38" s="10">
        <v>58.73</v>
      </c>
      <c r="L38" s="10">
        <f t="shared" si="3"/>
        <v>71.77000000000001</v>
      </c>
      <c r="M38" s="5" t="s">
        <v>39</v>
      </c>
      <c r="N38" s="7" t="s">
        <v>25</v>
      </c>
    </row>
    <row r="39" spans="1:14" ht="15" customHeight="1" x14ac:dyDescent="0.2">
      <c r="A39" s="2">
        <v>1038</v>
      </c>
      <c r="B39" s="3">
        <v>45594</v>
      </c>
      <c r="C39" s="2" t="s">
        <v>26</v>
      </c>
      <c r="D39" s="2" t="s">
        <v>27</v>
      </c>
      <c r="E39" s="2">
        <v>3</v>
      </c>
      <c r="F39" s="9">
        <v>85.25</v>
      </c>
      <c r="G39" s="2" t="s">
        <v>45</v>
      </c>
      <c r="H39" s="2" t="s">
        <v>33</v>
      </c>
      <c r="I39" s="4">
        <v>4</v>
      </c>
      <c r="J39" s="9">
        <f t="shared" si="2"/>
        <v>255.75</v>
      </c>
      <c r="K39" s="9">
        <v>122.76</v>
      </c>
      <c r="L39" s="9">
        <f t="shared" si="3"/>
        <v>132.99</v>
      </c>
      <c r="M39" s="2" t="s">
        <v>34</v>
      </c>
      <c r="N39" s="4" t="s">
        <v>25</v>
      </c>
    </row>
    <row r="40" spans="1:14" ht="15" customHeight="1" x14ac:dyDescent="0.2">
      <c r="A40" s="5">
        <v>1039</v>
      </c>
      <c r="B40" s="6">
        <v>45403</v>
      </c>
      <c r="C40" s="5" t="s">
        <v>29</v>
      </c>
      <c r="D40" s="5" t="s">
        <v>27</v>
      </c>
      <c r="E40" s="5">
        <v>3</v>
      </c>
      <c r="F40" s="10">
        <v>85.05</v>
      </c>
      <c r="G40" s="5" t="s">
        <v>43</v>
      </c>
      <c r="H40" s="5" t="s">
        <v>23</v>
      </c>
      <c r="I40" s="7">
        <v>4</v>
      </c>
      <c r="J40" s="10">
        <f t="shared" si="2"/>
        <v>255.14999999999998</v>
      </c>
      <c r="K40" s="10">
        <v>114.82</v>
      </c>
      <c r="L40" s="10">
        <f t="shared" si="3"/>
        <v>140.32999999999998</v>
      </c>
      <c r="M40" s="5" t="s">
        <v>34</v>
      </c>
      <c r="N40" s="7" t="s">
        <v>25</v>
      </c>
    </row>
    <row r="41" spans="1:14" ht="15" customHeight="1" x14ac:dyDescent="0.2">
      <c r="A41" s="2">
        <v>1040</v>
      </c>
      <c r="B41" s="3">
        <v>45417</v>
      </c>
      <c r="C41" s="2" t="s">
        <v>41</v>
      </c>
      <c r="D41" s="2" t="s">
        <v>15</v>
      </c>
      <c r="E41" s="2">
        <v>3</v>
      </c>
      <c r="F41" s="9">
        <v>105.7</v>
      </c>
      <c r="G41" s="2" t="s">
        <v>36</v>
      </c>
      <c r="H41" s="2" t="s">
        <v>33</v>
      </c>
      <c r="I41" s="4">
        <v>5</v>
      </c>
      <c r="J41" s="9">
        <f t="shared" si="2"/>
        <v>317.10000000000002</v>
      </c>
      <c r="K41" s="9">
        <v>133.18</v>
      </c>
      <c r="L41" s="9">
        <f t="shared" si="3"/>
        <v>183.92000000000002</v>
      </c>
      <c r="M41" s="2" t="s">
        <v>18</v>
      </c>
      <c r="N41" s="4" t="s">
        <v>25</v>
      </c>
    </row>
    <row r="42" spans="1:14" ht="15" customHeight="1" x14ac:dyDescent="0.2">
      <c r="A42" s="5">
        <v>1041</v>
      </c>
      <c r="B42" s="6">
        <v>45638</v>
      </c>
      <c r="C42" s="5" t="s">
        <v>31</v>
      </c>
      <c r="D42" s="5" t="s">
        <v>32</v>
      </c>
      <c r="E42" s="5">
        <v>1</v>
      </c>
      <c r="F42" s="10">
        <v>38.85</v>
      </c>
      <c r="G42" s="5" t="s">
        <v>30</v>
      </c>
      <c r="H42" s="5" t="s">
        <v>23</v>
      </c>
      <c r="I42" s="7">
        <v>5</v>
      </c>
      <c r="J42" s="10">
        <f t="shared" si="2"/>
        <v>38.85</v>
      </c>
      <c r="K42" s="10">
        <v>19.43</v>
      </c>
      <c r="L42" s="10">
        <f t="shared" si="3"/>
        <v>19.420000000000002</v>
      </c>
      <c r="M42" s="5" t="s">
        <v>39</v>
      </c>
      <c r="N42" s="7" t="s">
        <v>25</v>
      </c>
    </row>
    <row r="43" spans="1:14" ht="15" customHeight="1" x14ac:dyDescent="0.2">
      <c r="A43" s="2">
        <v>1042</v>
      </c>
      <c r="B43" s="3">
        <v>45409</v>
      </c>
      <c r="C43" s="2" t="s">
        <v>40</v>
      </c>
      <c r="D43" s="2" t="s">
        <v>15</v>
      </c>
      <c r="E43" s="2">
        <v>2</v>
      </c>
      <c r="F43" s="9">
        <v>29</v>
      </c>
      <c r="G43" s="2" t="s">
        <v>36</v>
      </c>
      <c r="H43" s="2" t="s">
        <v>17</v>
      </c>
      <c r="I43" s="4">
        <v>3</v>
      </c>
      <c r="J43" s="9">
        <f t="shared" si="2"/>
        <v>58</v>
      </c>
      <c r="K43" s="9">
        <v>22.04</v>
      </c>
      <c r="L43" s="9">
        <f t="shared" si="3"/>
        <v>35.96</v>
      </c>
      <c r="M43" s="2" t="s">
        <v>39</v>
      </c>
      <c r="N43" s="4" t="s">
        <v>25</v>
      </c>
    </row>
    <row r="44" spans="1:14" ht="15" customHeight="1" x14ac:dyDescent="0.2">
      <c r="A44" s="5">
        <v>1043</v>
      </c>
      <c r="B44" s="6">
        <v>45500</v>
      </c>
      <c r="C44" s="5" t="s">
        <v>41</v>
      </c>
      <c r="D44" s="5" t="s">
        <v>15</v>
      </c>
      <c r="E44" s="5">
        <v>2</v>
      </c>
      <c r="F44" s="10">
        <v>74.849999999999994</v>
      </c>
      <c r="G44" s="5" t="s">
        <v>30</v>
      </c>
      <c r="H44" s="5" t="s">
        <v>17</v>
      </c>
      <c r="I44" s="7">
        <v>4</v>
      </c>
      <c r="J44" s="10">
        <f t="shared" si="2"/>
        <v>149.69999999999999</v>
      </c>
      <c r="K44" s="10">
        <v>62.87</v>
      </c>
      <c r="L44" s="10">
        <f t="shared" si="3"/>
        <v>86.829999999999984</v>
      </c>
      <c r="M44" s="5" t="s">
        <v>18</v>
      </c>
      <c r="N44" s="7" t="s">
        <v>25</v>
      </c>
    </row>
    <row r="45" spans="1:14" ht="15" customHeight="1" x14ac:dyDescent="0.2">
      <c r="A45" s="2">
        <v>1044</v>
      </c>
      <c r="B45" s="3">
        <v>45465</v>
      </c>
      <c r="C45" s="2" t="s">
        <v>31</v>
      </c>
      <c r="D45" s="2" t="s">
        <v>32</v>
      </c>
      <c r="E45" s="2">
        <v>2</v>
      </c>
      <c r="F45" s="9">
        <v>43.95</v>
      </c>
      <c r="G45" s="2" t="s">
        <v>36</v>
      </c>
      <c r="H45" s="2" t="s">
        <v>23</v>
      </c>
      <c r="I45" s="4">
        <v>5</v>
      </c>
      <c r="J45" s="9">
        <f t="shared" si="2"/>
        <v>87.9</v>
      </c>
      <c r="K45" s="9">
        <v>43.95</v>
      </c>
      <c r="L45" s="9">
        <f t="shared" si="3"/>
        <v>43.95</v>
      </c>
      <c r="M45" s="2" t="s">
        <v>28</v>
      </c>
      <c r="N45" s="4" t="s">
        <v>25</v>
      </c>
    </row>
    <row r="46" spans="1:14" ht="15" customHeight="1" x14ac:dyDescent="0.2">
      <c r="A46" s="5">
        <v>1045</v>
      </c>
      <c r="B46" s="6">
        <v>45472</v>
      </c>
      <c r="C46" s="5" t="s">
        <v>40</v>
      </c>
      <c r="D46" s="5" t="s">
        <v>15</v>
      </c>
      <c r="E46" s="5">
        <v>4</v>
      </c>
      <c r="F46" s="10">
        <v>29.45</v>
      </c>
      <c r="G46" s="5" t="s">
        <v>36</v>
      </c>
      <c r="H46" s="5" t="s">
        <v>17</v>
      </c>
      <c r="I46" s="7">
        <v>5</v>
      </c>
      <c r="J46" s="10">
        <f t="shared" si="2"/>
        <v>117.8</v>
      </c>
      <c r="K46" s="10">
        <v>44.76</v>
      </c>
      <c r="L46" s="10">
        <f t="shared" si="3"/>
        <v>73.039999999999992</v>
      </c>
      <c r="M46" s="5" t="s">
        <v>39</v>
      </c>
      <c r="N46" s="7" t="s">
        <v>25</v>
      </c>
    </row>
    <row r="47" spans="1:14" ht="15" customHeight="1" x14ac:dyDescent="0.2">
      <c r="A47" s="2">
        <v>1046</v>
      </c>
      <c r="B47" s="3">
        <v>45519</v>
      </c>
      <c r="C47" s="2" t="s">
        <v>47</v>
      </c>
      <c r="D47" s="2" t="s">
        <v>21</v>
      </c>
      <c r="E47" s="2">
        <v>1</v>
      </c>
      <c r="F47" s="9">
        <v>34.700000000000003</v>
      </c>
      <c r="G47" s="2" t="s">
        <v>45</v>
      </c>
      <c r="H47" s="2" t="s">
        <v>17</v>
      </c>
      <c r="I47" s="4">
        <v>1</v>
      </c>
      <c r="J47" s="9">
        <f t="shared" si="2"/>
        <v>34.700000000000003</v>
      </c>
      <c r="K47" s="9">
        <v>13.88</v>
      </c>
      <c r="L47" s="9">
        <f t="shared" si="3"/>
        <v>20.82</v>
      </c>
      <c r="M47" s="2" t="s">
        <v>24</v>
      </c>
      <c r="N47" s="4" t="s">
        <v>25</v>
      </c>
    </row>
    <row r="48" spans="1:14" ht="15" customHeight="1" x14ac:dyDescent="0.2">
      <c r="A48" s="2">
        <v>1047</v>
      </c>
      <c r="B48" s="3">
        <v>45331</v>
      </c>
      <c r="C48" s="2" t="s">
        <v>20</v>
      </c>
      <c r="D48" s="2" t="s">
        <v>21</v>
      </c>
      <c r="E48" s="2">
        <v>4</v>
      </c>
      <c r="F48" s="9">
        <v>24.35</v>
      </c>
      <c r="G48" s="2" t="s">
        <v>22</v>
      </c>
      <c r="H48" s="2" t="s">
        <v>17</v>
      </c>
      <c r="I48" s="4">
        <v>5</v>
      </c>
      <c r="J48" s="9">
        <f t="shared" si="2"/>
        <v>97.4</v>
      </c>
      <c r="K48" s="9">
        <v>29.22</v>
      </c>
      <c r="L48" s="9">
        <f t="shared" si="3"/>
        <v>68.180000000000007</v>
      </c>
      <c r="M48" s="2" t="s">
        <v>39</v>
      </c>
      <c r="N48" s="4" t="s">
        <v>25</v>
      </c>
    </row>
    <row r="49" spans="1:14" ht="15" customHeight="1" x14ac:dyDescent="0.2">
      <c r="A49" s="2">
        <v>1048</v>
      </c>
      <c r="B49" s="3">
        <v>45637</v>
      </c>
      <c r="C49" s="2" t="s">
        <v>47</v>
      </c>
      <c r="D49" s="2" t="s">
        <v>21</v>
      </c>
      <c r="E49" s="2">
        <v>2</v>
      </c>
      <c r="F49" s="9">
        <v>21.3</v>
      </c>
      <c r="G49" s="2" t="s">
        <v>22</v>
      </c>
      <c r="H49" s="2" t="s">
        <v>17</v>
      </c>
      <c r="I49" s="4">
        <v>4</v>
      </c>
      <c r="J49" s="9">
        <f t="shared" si="2"/>
        <v>42.6</v>
      </c>
      <c r="K49" s="9">
        <v>17.04</v>
      </c>
      <c r="L49" s="9">
        <f t="shared" si="3"/>
        <v>25.560000000000002</v>
      </c>
      <c r="M49" s="2" t="s">
        <v>34</v>
      </c>
      <c r="N49" s="4" t="s">
        <v>25</v>
      </c>
    </row>
    <row r="50" spans="1:14" ht="15" customHeight="1" x14ac:dyDescent="0.2">
      <c r="A50" s="2">
        <v>1049</v>
      </c>
      <c r="B50" s="3">
        <v>45611</v>
      </c>
      <c r="C50" s="2" t="s">
        <v>40</v>
      </c>
      <c r="D50" s="2" t="s">
        <v>15</v>
      </c>
      <c r="E50" s="2">
        <v>1</v>
      </c>
      <c r="F50" s="9">
        <v>38.85</v>
      </c>
      <c r="G50" s="2" t="s">
        <v>22</v>
      </c>
      <c r="H50" s="2" t="s">
        <v>17</v>
      </c>
      <c r="I50" s="4">
        <v>4</v>
      </c>
      <c r="J50" s="9">
        <f t="shared" si="2"/>
        <v>38.85</v>
      </c>
      <c r="K50" s="9">
        <v>14.76</v>
      </c>
      <c r="L50" s="9">
        <f t="shared" si="3"/>
        <v>24.090000000000003</v>
      </c>
      <c r="M50" s="2" t="s">
        <v>18</v>
      </c>
      <c r="N50" s="4" t="s">
        <v>19</v>
      </c>
    </row>
    <row r="51" spans="1:14" ht="15" customHeight="1" x14ac:dyDescent="0.2">
      <c r="A51" s="2">
        <v>1050</v>
      </c>
      <c r="B51" s="3">
        <v>45534</v>
      </c>
      <c r="C51" s="2" t="s">
        <v>38</v>
      </c>
      <c r="D51" s="2" t="s">
        <v>32</v>
      </c>
      <c r="E51" s="2">
        <v>1</v>
      </c>
      <c r="F51" s="9">
        <v>40</v>
      </c>
      <c r="G51" s="2" t="s">
        <v>36</v>
      </c>
      <c r="H51" s="2" t="s">
        <v>33</v>
      </c>
      <c r="I51" s="4">
        <v>4</v>
      </c>
      <c r="J51" s="9">
        <f t="shared" si="2"/>
        <v>40</v>
      </c>
      <c r="K51" s="9">
        <v>20.8</v>
      </c>
      <c r="L51" s="9">
        <f t="shared" si="3"/>
        <v>19.2</v>
      </c>
      <c r="M51" s="2" t="s">
        <v>34</v>
      </c>
      <c r="N51" s="4" t="s">
        <v>25</v>
      </c>
    </row>
    <row r="52" spans="1:14" ht="15" customHeight="1" x14ac:dyDescent="0.2">
      <c r="A52" s="5">
        <v>1051</v>
      </c>
      <c r="B52" s="6">
        <v>45441</v>
      </c>
      <c r="C52" s="5" t="s">
        <v>20</v>
      </c>
      <c r="D52" s="5" t="s">
        <v>21</v>
      </c>
      <c r="E52" s="5">
        <v>3</v>
      </c>
      <c r="F52" s="10">
        <v>20.5</v>
      </c>
      <c r="G52" s="5" t="s">
        <v>43</v>
      </c>
      <c r="H52" s="5" t="s">
        <v>17</v>
      </c>
      <c r="I52" s="7">
        <v>4</v>
      </c>
      <c r="J52" s="10">
        <f t="shared" si="2"/>
        <v>61.5</v>
      </c>
      <c r="K52" s="10">
        <v>18.45</v>
      </c>
      <c r="L52" s="10">
        <f t="shared" si="3"/>
        <v>43.05</v>
      </c>
      <c r="M52" s="5" t="s">
        <v>24</v>
      </c>
      <c r="N52" s="7" t="s">
        <v>25</v>
      </c>
    </row>
    <row r="53" spans="1:14" ht="15" customHeight="1" x14ac:dyDescent="0.2">
      <c r="A53" s="2">
        <v>1052</v>
      </c>
      <c r="B53" s="3">
        <v>45371</v>
      </c>
      <c r="C53" s="2" t="s">
        <v>41</v>
      </c>
      <c r="D53" s="2" t="s">
        <v>15</v>
      </c>
      <c r="E53" s="2">
        <v>4</v>
      </c>
      <c r="F53" s="9">
        <v>61.05</v>
      </c>
      <c r="G53" s="2" t="s">
        <v>30</v>
      </c>
      <c r="H53" s="2" t="s">
        <v>17</v>
      </c>
      <c r="I53" s="4">
        <v>1</v>
      </c>
      <c r="J53" s="9">
        <f t="shared" si="2"/>
        <v>244.2</v>
      </c>
      <c r="K53" s="9">
        <v>102.56</v>
      </c>
      <c r="L53" s="9">
        <f t="shared" si="3"/>
        <v>141.63999999999999</v>
      </c>
      <c r="M53" s="2" t="s">
        <v>18</v>
      </c>
      <c r="N53" s="4" t="s">
        <v>19</v>
      </c>
    </row>
    <row r="54" spans="1:14" ht="15" customHeight="1" x14ac:dyDescent="0.2">
      <c r="A54" s="2">
        <v>1053</v>
      </c>
      <c r="B54" s="3">
        <v>45395</v>
      </c>
      <c r="C54" s="2" t="s">
        <v>42</v>
      </c>
      <c r="D54" s="2" t="s">
        <v>21</v>
      </c>
      <c r="E54" s="2">
        <v>2</v>
      </c>
      <c r="F54" s="9">
        <v>59.45</v>
      </c>
      <c r="G54" s="2" t="s">
        <v>36</v>
      </c>
      <c r="H54" s="2" t="s">
        <v>23</v>
      </c>
      <c r="I54" s="4">
        <v>5</v>
      </c>
      <c r="J54" s="9">
        <f t="shared" si="2"/>
        <v>118.9</v>
      </c>
      <c r="K54" s="9">
        <v>59.45</v>
      </c>
      <c r="L54" s="9">
        <f t="shared" si="3"/>
        <v>59.45</v>
      </c>
      <c r="M54" s="2" t="s">
        <v>28</v>
      </c>
      <c r="N54" s="4" t="s">
        <v>25</v>
      </c>
    </row>
    <row r="55" spans="1:14" ht="15" customHeight="1" x14ac:dyDescent="0.2">
      <c r="A55" s="5">
        <v>1054</v>
      </c>
      <c r="B55" s="6">
        <v>45513</v>
      </c>
      <c r="C55" s="5" t="s">
        <v>37</v>
      </c>
      <c r="D55" s="5" t="s">
        <v>15</v>
      </c>
      <c r="E55" s="5">
        <v>2</v>
      </c>
      <c r="F55" s="10">
        <v>38.549999999999997</v>
      </c>
      <c r="G55" s="5" t="s">
        <v>30</v>
      </c>
      <c r="H55" s="5" t="s">
        <v>23</v>
      </c>
      <c r="I55" s="7">
        <v>3</v>
      </c>
      <c r="J55" s="10">
        <f t="shared" si="2"/>
        <v>77.099999999999994</v>
      </c>
      <c r="K55" s="10">
        <v>30.84</v>
      </c>
      <c r="L55" s="10">
        <f t="shared" si="3"/>
        <v>46.259999999999991</v>
      </c>
      <c r="M55" s="5" t="s">
        <v>24</v>
      </c>
      <c r="N55" s="7" t="s">
        <v>25</v>
      </c>
    </row>
    <row r="56" spans="1:14" ht="15" customHeight="1" x14ac:dyDescent="0.2">
      <c r="A56" s="2">
        <v>1055</v>
      </c>
      <c r="B56" s="3">
        <v>45364</v>
      </c>
      <c r="C56" s="2" t="s">
        <v>46</v>
      </c>
      <c r="D56" s="2" t="s">
        <v>32</v>
      </c>
      <c r="E56" s="2">
        <v>1</v>
      </c>
      <c r="F56" s="9">
        <v>239.15</v>
      </c>
      <c r="G56" s="2" t="s">
        <v>30</v>
      </c>
      <c r="H56" s="2" t="s">
        <v>23</v>
      </c>
      <c r="I56" s="4">
        <v>5</v>
      </c>
      <c r="J56" s="9">
        <f t="shared" si="2"/>
        <v>239.15</v>
      </c>
      <c r="K56" s="9">
        <v>131.53</v>
      </c>
      <c r="L56" s="9">
        <f t="shared" si="3"/>
        <v>107.62</v>
      </c>
      <c r="M56" s="2" t="s">
        <v>39</v>
      </c>
      <c r="N56" s="4" t="s">
        <v>25</v>
      </c>
    </row>
    <row r="57" spans="1:14" ht="15" customHeight="1" x14ac:dyDescent="0.2">
      <c r="A57" s="5">
        <v>1056</v>
      </c>
      <c r="B57" s="6">
        <v>45514</v>
      </c>
      <c r="C57" s="5" t="s">
        <v>20</v>
      </c>
      <c r="D57" s="5" t="s">
        <v>21</v>
      </c>
      <c r="E57" s="5">
        <v>4</v>
      </c>
      <c r="F57" s="10">
        <v>22.7</v>
      </c>
      <c r="G57" s="5" t="s">
        <v>45</v>
      </c>
      <c r="H57" s="5" t="s">
        <v>33</v>
      </c>
      <c r="I57" s="7">
        <v>5</v>
      </c>
      <c r="J57" s="10">
        <f t="shared" si="2"/>
        <v>90.8</v>
      </c>
      <c r="K57" s="10">
        <v>27.24</v>
      </c>
      <c r="L57" s="10">
        <f t="shared" si="3"/>
        <v>63.56</v>
      </c>
      <c r="M57" s="5" t="s">
        <v>28</v>
      </c>
      <c r="N57" s="7" t="s">
        <v>25</v>
      </c>
    </row>
    <row r="58" spans="1:14" ht="15" customHeight="1" x14ac:dyDescent="0.2">
      <c r="A58" s="5">
        <v>1057</v>
      </c>
      <c r="B58" s="6">
        <v>45562</v>
      </c>
      <c r="C58" s="5" t="s">
        <v>44</v>
      </c>
      <c r="D58" s="5" t="s">
        <v>27</v>
      </c>
      <c r="E58" s="5">
        <v>1</v>
      </c>
      <c r="F58" s="10">
        <v>142.05000000000001</v>
      </c>
      <c r="G58" s="5" t="s">
        <v>36</v>
      </c>
      <c r="H58" s="5" t="s">
        <v>17</v>
      </c>
      <c r="I58" s="7">
        <v>4</v>
      </c>
      <c r="J58" s="10">
        <f t="shared" si="2"/>
        <v>142.05000000000001</v>
      </c>
      <c r="K58" s="10">
        <v>71.03</v>
      </c>
      <c r="L58" s="10">
        <f t="shared" si="3"/>
        <v>71.02000000000001</v>
      </c>
      <c r="M58" s="5" t="s">
        <v>34</v>
      </c>
      <c r="N58" s="7" t="s">
        <v>25</v>
      </c>
    </row>
    <row r="59" spans="1:14" ht="15" customHeight="1" x14ac:dyDescent="0.2">
      <c r="A59" s="5">
        <v>1058</v>
      </c>
      <c r="B59" s="6">
        <v>45337</v>
      </c>
      <c r="C59" s="5" t="s">
        <v>42</v>
      </c>
      <c r="D59" s="5" t="s">
        <v>21</v>
      </c>
      <c r="E59" s="5">
        <v>1</v>
      </c>
      <c r="F59" s="10">
        <v>38.1</v>
      </c>
      <c r="G59" s="5" t="s">
        <v>36</v>
      </c>
      <c r="H59" s="5" t="s">
        <v>17</v>
      </c>
      <c r="I59" s="7">
        <v>3</v>
      </c>
      <c r="J59" s="10">
        <f t="shared" si="2"/>
        <v>38.1</v>
      </c>
      <c r="K59" s="10">
        <v>19.05</v>
      </c>
      <c r="L59" s="10">
        <f t="shared" si="3"/>
        <v>19.05</v>
      </c>
      <c r="M59" s="5" t="s">
        <v>28</v>
      </c>
      <c r="N59" s="7" t="s">
        <v>25</v>
      </c>
    </row>
    <row r="60" spans="1:14" ht="15" customHeight="1" x14ac:dyDescent="0.2">
      <c r="A60" s="2">
        <v>1059</v>
      </c>
      <c r="B60" s="3">
        <v>45508</v>
      </c>
      <c r="C60" s="2" t="s">
        <v>46</v>
      </c>
      <c r="D60" s="2" t="s">
        <v>32</v>
      </c>
      <c r="E60" s="2">
        <v>1</v>
      </c>
      <c r="F60" s="9">
        <v>155.15</v>
      </c>
      <c r="G60" s="2" t="s">
        <v>36</v>
      </c>
      <c r="H60" s="2" t="s">
        <v>17</v>
      </c>
      <c r="I60" s="4">
        <v>2</v>
      </c>
      <c r="J60" s="9">
        <f t="shared" si="2"/>
        <v>155.15</v>
      </c>
      <c r="K60" s="9">
        <v>85.33</v>
      </c>
      <c r="L60" s="9">
        <f t="shared" si="3"/>
        <v>69.820000000000007</v>
      </c>
      <c r="M60" s="2" t="s">
        <v>39</v>
      </c>
      <c r="N60" s="4" t="s">
        <v>19</v>
      </c>
    </row>
    <row r="61" spans="1:14" ht="15" customHeight="1" x14ac:dyDescent="0.2">
      <c r="A61" s="2">
        <v>1060</v>
      </c>
      <c r="B61" s="3">
        <v>45490</v>
      </c>
      <c r="C61" s="2" t="s">
        <v>37</v>
      </c>
      <c r="D61" s="2" t="s">
        <v>15</v>
      </c>
      <c r="E61" s="2">
        <v>1</v>
      </c>
      <c r="F61" s="9">
        <v>61.65</v>
      </c>
      <c r="G61" s="2" t="s">
        <v>22</v>
      </c>
      <c r="H61" s="2" t="s">
        <v>23</v>
      </c>
      <c r="I61" s="4">
        <v>4</v>
      </c>
      <c r="J61" s="9">
        <f t="shared" si="2"/>
        <v>61.65</v>
      </c>
      <c r="K61" s="9">
        <v>24.66</v>
      </c>
      <c r="L61" s="9">
        <f t="shared" si="3"/>
        <v>36.989999999999995</v>
      </c>
      <c r="M61" s="2" t="s">
        <v>28</v>
      </c>
      <c r="N61" s="4" t="s">
        <v>25</v>
      </c>
    </row>
    <row r="62" spans="1:14" ht="15" customHeight="1" x14ac:dyDescent="0.2">
      <c r="A62" s="5">
        <v>1061</v>
      </c>
      <c r="B62" s="6">
        <v>45604</v>
      </c>
      <c r="C62" s="5" t="s">
        <v>40</v>
      </c>
      <c r="D62" s="5" t="s">
        <v>15</v>
      </c>
      <c r="E62" s="5">
        <v>3</v>
      </c>
      <c r="F62" s="10">
        <v>43.85</v>
      </c>
      <c r="G62" s="5" t="s">
        <v>45</v>
      </c>
      <c r="H62" s="5" t="s">
        <v>17</v>
      </c>
      <c r="I62" s="7">
        <v>5</v>
      </c>
      <c r="J62" s="10">
        <f t="shared" si="2"/>
        <v>131.55000000000001</v>
      </c>
      <c r="K62" s="10">
        <v>49.99</v>
      </c>
      <c r="L62" s="10">
        <f t="shared" si="3"/>
        <v>81.56</v>
      </c>
      <c r="M62" s="5" t="s">
        <v>28</v>
      </c>
      <c r="N62" s="7" t="s">
        <v>25</v>
      </c>
    </row>
    <row r="63" spans="1:14" ht="15" customHeight="1" x14ac:dyDescent="0.2">
      <c r="A63" s="5">
        <v>1062</v>
      </c>
      <c r="B63" s="6">
        <v>45380</v>
      </c>
      <c r="C63" s="5" t="s">
        <v>40</v>
      </c>
      <c r="D63" s="5" t="s">
        <v>15</v>
      </c>
      <c r="E63" s="5">
        <v>1</v>
      </c>
      <c r="F63" s="10">
        <v>35.9</v>
      </c>
      <c r="G63" s="5" t="s">
        <v>36</v>
      </c>
      <c r="H63" s="5" t="s">
        <v>33</v>
      </c>
      <c r="I63" s="7">
        <v>5</v>
      </c>
      <c r="J63" s="10">
        <f t="shared" si="2"/>
        <v>35.9</v>
      </c>
      <c r="K63" s="10">
        <v>13.64</v>
      </c>
      <c r="L63" s="10">
        <f t="shared" si="3"/>
        <v>22.259999999999998</v>
      </c>
      <c r="M63" s="5" t="s">
        <v>39</v>
      </c>
      <c r="N63" s="7" t="s">
        <v>25</v>
      </c>
    </row>
    <row r="64" spans="1:14" ht="15" customHeight="1" x14ac:dyDescent="0.2">
      <c r="A64" s="2">
        <v>1063</v>
      </c>
      <c r="B64" s="3">
        <v>45625</v>
      </c>
      <c r="C64" s="2" t="s">
        <v>47</v>
      </c>
      <c r="D64" s="2" t="s">
        <v>21</v>
      </c>
      <c r="E64" s="2">
        <v>3</v>
      </c>
      <c r="F64" s="9">
        <v>25.7</v>
      </c>
      <c r="G64" s="2" t="s">
        <v>16</v>
      </c>
      <c r="H64" s="2" t="s">
        <v>33</v>
      </c>
      <c r="I64" s="4">
        <v>4</v>
      </c>
      <c r="J64" s="9">
        <f t="shared" si="2"/>
        <v>77.099999999999994</v>
      </c>
      <c r="K64" s="9">
        <v>30.84</v>
      </c>
      <c r="L64" s="9">
        <f t="shared" si="3"/>
        <v>46.259999999999991</v>
      </c>
      <c r="M64" s="2" t="s">
        <v>24</v>
      </c>
      <c r="N64" s="4" t="s">
        <v>25</v>
      </c>
    </row>
    <row r="65" spans="1:14" ht="15" customHeight="1" x14ac:dyDescent="0.2">
      <c r="A65" s="2">
        <v>1064</v>
      </c>
      <c r="B65" s="3">
        <v>45438</v>
      </c>
      <c r="C65" s="2" t="s">
        <v>44</v>
      </c>
      <c r="D65" s="2" t="s">
        <v>27</v>
      </c>
      <c r="E65" s="2">
        <v>1</v>
      </c>
      <c r="F65" s="9">
        <v>93.5</v>
      </c>
      <c r="G65" s="2" t="s">
        <v>30</v>
      </c>
      <c r="H65" s="2" t="s">
        <v>17</v>
      </c>
      <c r="I65" s="4">
        <v>5</v>
      </c>
      <c r="J65" s="9">
        <f t="shared" si="2"/>
        <v>93.5</v>
      </c>
      <c r="K65" s="9">
        <v>46.75</v>
      </c>
      <c r="L65" s="9">
        <f t="shared" si="3"/>
        <v>46.75</v>
      </c>
      <c r="M65" s="2" t="s">
        <v>39</v>
      </c>
      <c r="N65" s="4" t="s">
        <v>25</v>
      </c>
    </row>
    <row r="66" spans="1:14" ht="15" customHeight="1" x14ac:dyDescent="0.2">
      <c r="A66" s="5">
        <v>1065</v>
      </c>
      <c r="B66" s="6">
        <v>45410</v>
      </c>
      <c r="C66" s="5" t="s">
        <v>40</v>
      </c>
      <c r="D66" s="5" t="s">
        <v>15</v>
      </c>
      <c r="E66" s="5">
        <v>1</v>
      </c>
      <c r="F66" s="10">
        <v>45.85</v>
      </c>
      <c r="G66" s="5" t="s">
        <v>22</v>
      </c>
      <c r="H66" s="5" t="s">
        <v>17</v>
      </c>
      <c r="I66" s="7">
        <v>4</v>
      </c>
      <c r="J66" s="10">
        <f t="shared" ref="J66:J97" si="4">E66*F66</f>
        <v>45.85</v>
      </c>
      <c r="K66" s="10">
        <v>17.420000000000002</v>
      </c>
      <c r="L66" s="10">
        <f t="shared" ref="L66:L97" si="5">J66-K66</f>
        <v>28.43</v>
      </c>
      <c r="M66" s="5" t="s">
        <v>34</v>
      </c>
      <c r="N66" s="7" t="s">
        <v>25</v>
      </c>
    </row>
    <row r="67" spans="1:14" ht="15" customHeight="1" x14ac:dyDescent="0.2">
      <c r="A67" s="2">
        <v>1066</v>
      </c>
      <c r="B67" s="3">
        <v>45374</v>
      </c>
      <c r="C67" s="2" t="s">
        <v>35</v>
      </c>
      <c r="D67" s="2" t="s">
        <v>21</v>
      </c>
      <c r="E67" s="2">
        <v>1</v>
      </c>
      <c r="F67" s="9">
        <v>26.4</v>
      </c>
      <c r="G67" s="2" t="s">
        <v>30</v>
      </c>
      <c r="H67" s="2" t="s">
        <v>23</v>
      </c>
      <c r="I67" s="4">
        <v>3</v>
      </c>
      <c r="J67" s="9">
        <f t="shared" si="4"/>
        <v>26.4</v>
      </c>
      <c r="K67" s="9">
        <v>11.88</v>
      </c>
      <c r="L67" s="9">
        <f t="shared" si="5"/>
        <v>14.519999999999998</v>
      </c>
      <c r="M67" s="2" t="s">
        <v>28</v>
      </c>
      <c r="N67" s="4" t="s">
        <v>25</v>
      </c>
    </row>
    <row r="68" spans="1:14" ht="15" customHeight="1" x14ac:dyDescent="0.2">
      <c r="A68" s="5">
        <v>1067</v>
      </c>
      <c r="B68" s="6">
        <v>45606</v>
      </c>
      <c r="C68" s="5" t="s">
        <v>26</v>
      </c>
      <c r="D68" s="5" t="s">
        <v>27</v>
      </c>
      <c r="E68" s="5">
        <v>1</v>
      </c>
      <c r="F68" s="10">
        <v>119.5</v>
      </c>
      <c r="G68" s="5" t="s">
        <v>22</v>
      </c>
      <c r="H68" s="5" t="s">
        <v>23</v>
      </c>
      <c r="I68" s="7">
        <v>4</v>
      </c>
      <c r="J68" s="10">
        <f t="shared" si="4"/>
        <v>119.5</v>
      </c>
      <c r="K68" s="10">
        <v>57.36</v>
      </c>
      <c r="L68" s="10">
        <f t="shared" si="5"/>
        <v>62.14</v>
      </c>
      <c r="M68" s="5" t="s">
        <v>18</v>
      </c>
      <c r="N68" s="7" t="s">
        <v>25</v>
      </c>
    </row>
    <row r="69" spans="1:14" ht="15" customHeight="1" x14ac:dyDescent="0.2">
      <c r="A69" s="5">
        <v>1068</v>
      </c>
      <c r="B69" s="6">
        <v>45590</v>
      </c>
      <c r="C69" s="5" t="s">
        <v>26</v>
      </c>
      <c r="D69" s="5" t="s">
        <v>27</v>
      </c>
      <c r="E69" s="5">
        <v>1</v>
      </c>
      <c r="F69" s="10">
        <v>134.44999999999999</v>
      </c>
      <c r="G69" s="5" t="s">
        <v>36</v>
      </c>
      <c r="H69" s="5" t="s">
        <v>33</v>
      </c>
      <c r="I69" s="7">
        <v>4</v>
      </c>
      <c r="J69" s="10">
        <f t="shared" si="4"/>
        <v>134.44999999999999</v>
      </c>
      <c r="K69" s="10">
        <v>64.540000000000006</v>
      </c>
      <c r="L69" s="10">
        <f t="shared" si="5"/>
        <v>69.909999999999982</v>
      </c>
      <c r="M69" s="5" t="s">
        <v>34</v>
      </c>
      <c r="N69" s="7" t="s">
        <v>25</v>
      </c>
    </row>
    <row r="70" spans="1:14" ht="15" customHeight="1" x14ac:dyDescent="0.2">
      <c r="A70" s="5">
        <v>1069</v>
      </c>
      <c r="B70" s="6">
        <v>45348</v>
      </c>
      <c r="C70" s="5" t="s">
        <v>37</v>
      </c>
      <c r="D70" s="5" t="s">
        <v>15</v>
      </c>
      <c r="E70" s="5">
        <v>1</v>
      </c>
      <c r="F70" s="10">
        <v>62.95</v>
      </c>
      <c r="G70" s="5" t="s">
        <v>16</v>
      </c>
      <c r="H70" s="5" t="s">
        <v>23</v>
      </c>
      <c r="I70" s="7">
        <v>4</v>
      </c>
      <c r="J70" s="10">
        <f t="shared" si="4"/>
        <v>62.95</v>
      </c>
      <c r="K70" s="10">
        <v>25.18</v>
      </c>
      <c r="L70" s="10">
        <f t="shared" si="5"/>
        <v>37.770000000000003</v>
      </c>
      <c r="M70" s="5" t="s">
        <v>18</v>
      </c>
      <c r="N70" s="7" t="s">
        <v>19</v>
      </c>
    </row>
    <row r="71" spans="1:14" ht="15" customHeight="1" x14ac:dyDescent="0.2">
      <c r="A71" s="5">
        <v>1070</v>
      </c>
      <c r="B71" s="6">
        <v>45568</v>
      </c>
      <c r="C71" s="5" t="s">
        <v>35</v>
      </c>
      <c r="D71" s="5" t="s">
        <v>21</v>
      </c>
      <c r="E71" s="5">
        <v>1</v>
      </c>
      <c r="F71" s="10">
        <v>46</v>
      </c>
      <c r="G71" s="5" t="s">
        <v>45</v>
      </c>
      <c r="H71" s="5" t="s">
        <v>23</v>
      </c>
      <c r="I71" s="7">
        <v>4</v>
      </c>
      <c r="J71" s="10">
        <f t="shared" si="4"/>
        <v>46</v>
      </c>
      <c r="K71" s="10">
        <v>20.7</v>
      </c>
      <c r="L71" s="10">
        <f t="shared" si="5"/>
        <v>25.3</v>
      </c>
      <c r="M71" s="5" t="s">
        <v>34</v>
      </c>
      <c r="N71" s="7" t="s">
        <v>25</v>
      </c>
    </row>
    <row r="72" spans="1:14" ht="15" customHeight="1" x14ac:dyDescent="0.2">
      <c r="A72" s="5">
        <v>1071</v>
      </c>
      <c r="B72" s="6">
        <v>45481</v>
      </c>
      <c r="C72" s="5" t="s">
        <v>20</v>
      </c>
      <c r="D72" s="5" t="s">
        <v>21</v>
      </c>
      <c r="E72" s="5">
        <v>1</v>
      </c>
      <c r="F72" s="10">
        <v>23.65</v>
      </c>
      <c r="G72" s="5" t="s">
        <v>36</v>
      </c>
      <c r="H72" s="5" t="s">
        <v>33</v>
      </c>
      <c r="I72" s="7">
        <v>4</v>
      </c>
      <c r="J72" s="10">
        <f t="shared" si="4"/>
        <v>23.65</v>
      </c>
      <c r="K72" s="10">
        <v>7.09</v>
      </c>
      <c r="L72" s="10">
        <f t="shared" si="5"/>
        <v>16.559999999999999</v>
      </c>
      <c r="M72" s="5" t="s">
        <v>39</v>
      </c>
      <c r="N72" s="7" t="s">
        <v>25</v>
      </c>
    </row>
    <row r="73" spans="1:14" ht="15" customHeight="1" x14ac:dyDescent="0.2">
      <c r="A73" s="2">
        <v>1072</v>
      </c>
      <c r="B73" s="3">
        <v>45571</v>
      </c>
      <c r="C73" s="2" t="s">
        <v>46</v>
      </c>
      <c r="D73" s="2" t="s">
        <v>32</v>
      </c>
      <c r="E73" s="2">
        <v>1</v>
      </c>
      <c r="F73" s="9">
        <v>155.19999999999999</v>
      </c>
      <c r="G73" s="2" t="s">
        <v>16</v>
      </c>
      <c r="H73" s="2" t="s">
        <v>33</v>
      </c>
      <c r="I73" s="4">
        <v>5</v>
      </c>
      <c r="J73" s="9">
        <f t="shared" si="4"/>
        <v>155.19999999999999</v>
      </c>
      <c r="K73" s="9">
        <v>85.36</v>
      </c>
      <c r="L73" s="9">
        <f t="shared" si="5"/>
        <v>69.839999999999989</v>
      </c>
      <c r="M73" s="2" t="s">
        <v>28</v>
      </c>
      <c r="N73" s="4" t="s">
        <v>25</v>
      </c>
    </row>
    <row r="74" spans="1:14" ht="15" customHeight="1" x14ac:dyDescent="0.2">
      <c r="A74" s="5">
        <v>1073</v>
      </c>
      <c r="B74" s="6">
        <v>45438</v>
      </c>
      <c r="C74" s="5" t="s">
        <v>38</v>
      </c>
      <c r="D74" s="5" t="s">
        <v>32</v>
      </c>
      <c r="E74" s="5">
        <v>1</v>
      </c>
      <c r="F74" s="10">
        <v>76.55</v>
      </c>
      <c r="G74" s="5" t="s">
        <v>43</v>
      </c>
      <c r="H74" s="5" t="s">
        <v>23</v>
      </c>
      <c r="I74" s="7">
        <v>5</v>
      </c>
      <c r="J74" s="10">
        <f t="shared" si="4"/>
        <v>76.55</v>
      </c>
      <c r="K74" s="10">
        <v>39.81</v>
      </c>
      <c r="L74" s="10">
        <f t="shared" si="5"/>
        <v>36.739999999999995</v>
      </c>
      <c r="M74" s="5" t="s">
        <v>24</v>
      </c>
      <c r="N74" s="7" t="s">
        <v>25</v>
      </c>
    </row>
    <row r="75" spans="1:14" ht="15" customHeight="1" x14ac:dyDescent="0.2">
      <c r="A75" s="5">
        <v>1074</v>
      </c>
      <c r="B75" s="6">
        <v>45389</v>
      </c>
      <c r="C75" s="5" t="s">
        <v>42</v>
      </c>
      <c r="D75" s="5" t="s">
        <v>21</v>
      </c>
      <c r="E75" s="5">
        <v>2</v>
      </c>
      <c r="F75" s="10">
        <v>57.8</v>
      </c>
      <c r="G75" s="5" t="s">
        <v>36</v>
      </c>
      <c r="H75" s="5" t="s">
        <v>33</v>
      </c>
      <c r="I75" s="7">
        <v>4</v>
      </c>
      <c r="J75" s="10">
        <f t="shared" si="4"/>
        <v>115.6</v>
      </c>
      <c r="K75" s="10">
        <v>57.8</v>
      </c>
      <c r="L75" s="10">
        <f t="shared" si="5"/>
        <v>57.8</v>
      </c>
      <c r="M75" s="5" t="s">
        <v>34</v>
      </c>
      <c r="N75" s="7" t="s">
        <v>25</v>
      </c>
    </row>
    <row r="76" spans="1:14" ht="15" customHeight="1" x14ac:dyDescent="0.2">
      <c r="A76" s="2">
        <v>1075</v>
      </c>
      <c r="B76" s="3">
        <v>45560</v>
      </c>
      <c r="C76" s="2" t="s">
        <v>40</v>
      </c>
      <c r="D76" s="2" t="s">
        <v>15</v>
      </c>
      <c r="E76" s="2">
        <v>3</v>
      </c>
      <c r="F76" s="9">
        <v>33.5</v>
      </c>
      <c r="G76" s="2" t="s">
        <v>22</v>
      </c>
      <c r="H76" s="2" t="s">
        <v>17</v>
      </c>
      <c r="I76" s="4">
        <v>5</v>
      </c>
      <c r="J76" s="9">
        <f t="shared" si="4"/>
        <v>100.5</v>
      </c>
      <c r="K76" s="9">
        <v>38.19</v>
      </c>
      <c r="L76" s="9">
        <f t="shared" si="5"/>
        <v>62.31</v>
      </c>
      <c r="M76" s="2" t="s">
        <v>24</v>
      </c>
      <c r="N76" s="4" t="s">
        <v>25</v>
      </c>
    </row>
    <row r="77" spans="1:14" ht="15" customHeight="1" x14ac:dyDescent="0.2">
      <c r="A77" s="5">
        <v>1076</v>
      </c>
      <c r="B77" s="6">
        <v>45525</v>
      </c>
      <c r="C77" s="5" t="s">
        <v>46</v>
      </c>
      <c r="D77" s="5" t="s">
        <v>32</v>
      </c>
      <c r="E77" s="5">
        <v>1</v>
      </c>
      <c r="F77" s="10">
        <v>213.5</v>
      </c>
      <c r="G77" s="5" t="s">
        <v>30</v>
      </c>
      <c r="H77" s="5" t="s">
        <v>33</v>
      </c>
      <c r="I77" s="7">
        <v>5</v>
      </c>
      <c r="J77" s="10">
        <f t="shared" si="4"/>
        <v>213.5</v>
      </c>
      <c r="K77" s="10">
        <v>117.43</v>
      </c>
      <c r="L77" s="10">
        <f t="shared" si="5"/>
        <v>96.07</v>
      </c>
      <c r="M77" s="5" t="s">
        <v>39</v>
      </c>
      <c r="N77" s="7" t="s">
        <v>25</v>
      </c>
    </row>
    <row r="78" spans="1:14" ht="15" customHeight="1" x14ac:dyDescent="0.2">
      <c r="A78" s="5">
        <v>1077</v>
      </c>
      <c r="B78" s="6">
        <v>45567</v>
      </c>
      <c r="C78" s="5" t="s">
        <v>14</v>
      </c>
      <c r="D78" s="5" t="s">
        <v>15</v>
      </c>
      <c r="E78" s="5">
        <v>1</v>
      </c>
      <c r="F78" s="10">
        <v>30.1</v>
      </c>
      <c r="G78" s="5" t="s">
        <v>22</v>
      </c>
      <c r="H78" s="5" t="s">
        <v>17</v>
      </c>
      <c r="I78" s="7">
        <v>4</v>
      </c>
      <c r="J78" s="10">
        <f t="shared" si="4"/>
        <v>30.1</v>
      </c>
      <c r="K78" s="10">
        <v>10.54</v>
      </c>
      <c r="L78" s="10">
        <f t="shared" si="5"/>
        <v>19.560000000000002</v>
      </c>
      <c r="M78" s="5" t="s">
        <v>28</v>
      </c>
      <c r="N78" s="7" t="s">
        <v>25</v>
      </c>
    </row>
    <row r="79" spans="1:14" ht="15" customHeight="1" x14ac:dyDescent="0.2">
      <c r="A79" s="2">
        <v>1078</v>
      </c>
      <c r="B79" s="3">
        <v>45394</v>
      </c>
      <c r="C79" s="2" t="s">
        <v>20</v>
      </c>
      <c r="D79" s="2" t="s">
        <v>21</v>
      </c>
      <c r="E79" s="2">
        <v>2</v>
      </c>
      <c r="F79" s="9">
        <v>17.95</v>
      </c>
      <c r="G79" s="2" t="s">
        <v>36</v>
      </c>
      <c r="H79" s="2" t="s">
        <v>17</v>
      </c>
      <c r="I79" s="4">
        <v>4</v>
      </c>
      <c r="J79" s="9">
        <f t="shared" si="4"/>
        <v>35.9</v>
      </c>
      <c r="K79" s="9">
        <v>10.77</v>
      </c>
      <c r="L79" s="9">
        <f t="shared" si="5"/>
        <v>25.13</v>
      </c>
      <c r="M79" s="2" t="s">
        <v>24</v>
      </c>
      <c r="N79" s="4" t="s">
        <v>25</v>
      </c>
    </row>
    <row r="80" spans="1:14" ht="15" customHeight="1" x14ac:dyDescent="0.2">
      <c r="A80" s="2">
        <v>1079</v>
      </c>
      <c r="B80" s="3">
        <v>45564</v>
      </c>
      <c r="C80" s="2" t="s">
        <v>31</v>
      </c>
      <c r="D80" s="2" t="s">
        <v>32</v>
      </c>
      <c r="E80" s="2">
        <v>1</v>
      </c>
      <c r="F80" s="9">
        <v>64.5</v>
      </c>
      <c r="G80" s="2" t="s">
        <v>22</v>
      </c>
      <c r="H80" s="2" t="s">
        <v>17</v>
      </c>
      <c r="I80" s="4">
        <v>4</v>
      </c>
      <c r="J80" s="9">
        <f t="shared" si="4"/>
        <v>64.5</v>
      </c>
      <c r="K80" s="9">
        <v>32.25</v>
      </c>
      <c r="L80" s="9">
        <f t="shared" si="5"/>
        <v>32.25</v>
      </c>
      <c r="M80" s="2" t="s">
        <v>28</v>
      </c>
      <c r="N80" s="4" t="s">
        <v>25</v>
      </c>
    </row>
    <row r="81" spans="1:14" ht="15" customHeight="1" x14ac:dyDescent="0.2">
      <c r="A81" s="5">
        <v>1080</v>
      </c>
      <c r="B81" s="6">
        <v>45360</v>
      </c>
      <c r="C81" s="5" t="s">
        <v>38</v>
      </c>
      <c r="D81" s="5" t="s">
        <v>32</v>
      </c>
      <c r="E81" s="5">
        <v>1</v>
      </c>
      <c r="F81" s="10">
        <v>49.7</v>
      </c>
      <c r="G81" s="5" t="s">
        <v>30</v>
      </c>
      <c r="H81" s="5" t="s">
        <v>17</v>
      </c>
      <c r="I81" s="7">
        <v>3</v>
      </c>
      <c r="J81" s="10">
        <f t="shared" si="4"/>
        <v>49.7</v>
      </c>
      <c r="K81" s="10">
        <v>25.84</v>
      </c>
      <c r="L81" s="10">
        <f t="shared" si="5"/>
        <v>23.860000000000003</v>
      </c>
      <c r="M81" s="5" t="s">
        <v>28</v>
      </c>
      <c r="N81" s="7" t="s">
        <v>25</v>
      </c>
    </row>
    <row r="82" spans="1:14" ht="15" customHeight="1" x14ac:dyDescent="0.2">
      <c r="A82" s="5">
        <v>1081</v>
      </c>
      <c r="B82" s="6">
        <v>45302</v>
      </c>
      <c r="C82" s="5" t="s">
        <v>20</v>
      </c>
      <c r="D82" s="5" t="s">
        <v>21</v>
      </c>
      <c r="E82" s="5">
        <v>4</v>
      </c>
      <c r="F82" s="10">
        <v>17.25</v>
      </c>
      <c r="G82" s="5" t="s">
        <v>22</v>
      </c>
      <c r="H82" s="5" t="s">
        <v>23</v>
      </c>
      <c r="I82" s="7">
        <v>4</v>
      </c>
      <c r="J82" s="10">
        <f t="shared" si="4"/>
        <v>69</v>
      </c>
      <c r="K82" s="10">
        <v>20.7</v>
      </c>
      <c r="L82" s="10">
        <f t="shared" si="5"/>
        <v>48.3</v>
      </c>
      <c r="M82" s="5" t="s">
        <v>24</v>
      </c>
      <c r="N82" s="7" t="s">
        <v>25</v>
      </c>
    </row>
    <row r="83" spans="1:14" ht="15" customHeight="1" x14ac:dyDescent="0.2">
      <c r="A83" s="2">
        <v>1082</v>
      </c>
      <c r="B83" s="3">
        <v>45329</v>
      </c>
      <c r="C83" s="2" t="s">
        <v>42</v>
      </c>
      <c r="D83" s="2" t="s">
        <v>21</v>
      </c>
      <c r="E83" s="2">
        <v>4</v>
      </c>
      <c r="F83" s="9">
        <v>48.65</v>
      </c>
      <c r="G83" s="2" t="s">
        <v>36</v>
      </c>
      <c r="H83" s="2" t="s">
        <v>23</v>
      </c>
      <c r="I83" s="4">
        <v>4</v>
      </c>
      <c r="J83" s="9">
        <f t="shared" si="4"/>
        <v>194.6</v>
      </c>
      <c r="K83" s="9">
        <v>97.3</v>
      </c>
      <c r="L83" s="9">
        <f t="shared" si="5"/>
        <v>97.3</v>
      </c>
      <c r="M83" s="2" t="s">
        <v>24</v>
      </c>
      <c r="N83" s="4" t="s">
        <v>25</v>
      </c>
    </row>
    <row r="84" spans="1:14" ht="15" customHeight="1" x14ac:dyDescent="0.2">
      <c r="A84" s="2">
        <v>1083</v>
      </c>
      <c r="B84" s="3">
        <v>45423</v>
      </c>
      <c r="C84" s="2" t="s">
        <v>35</v>
      </c>
      <c r="D84" s="2" t="s">
        <v>21</v>
      </c>
      <c r="E84" s="2">
        <v>1</v>
      </c>
      <c r="F84" s="9">
        <v>49.05</v>
      </c>
      <c r="G84" s="2" t="s">
        <v>43</v>
      </c>
      <c r="H84" s="2" t="s">
        <v>23</v>
      </c>
      <c r="I84" s="4">
        <v>3</v>
      </c>
      <c r="J84" s="9">
        <f t="shared" si="4"/>
        <v>49.05</v>
      </c>
      <c r="K84" s="9">
        <v>22.07</v>
      </c>
      <c r="L84" s="9">
        <f t="shared" si="5"/>
        <v>26.979999999999997</v>
      </c>
      <c r="M84" s="2" t="s">
        <v>24</v>
      </c>
      <c r="N84" s="4" t="s">
        <v>25</v>
      </c>
    </row>
    <row r="85" spans="1:14" ht="15" customHeight="1" x14ac:dyDescent="0.2">
      <c r="A85" s="2">
        <v>1084</v>
      </c>
      <c r="B85" s="3">
        <v>45448</v>
      </c>
      <c r="C85" s="2" t="s">
        <v>47</v>
      </c>
      <c r="D85" s="2" t="s">
        <v>21</v>
      </c>
      <c r="E85" s="2">
        <v>2</v>
      </c>
      <c r="F85" s="9">
        <v>26.9</v>
      </c>
      <c r="G85" s="2" t="s">
        <v>43</v>
      </c>
      <c r="H85" s="2" t="s">
        <v>17</v>
      </c>
      <c r="I85" s="4">
        <v>5</v>
      </c>
      <c r="J85" s="9">
        <f t="shared" si="4"/>
        <v>53.8</v>
      </c>
      <c r="K85" s="9">
        <v>21.52</v>
      </c>
      <c r="L85" s="9">
        <f t="shared" si="5"/>
        <v>32.28</v>
      </c>
      <c r="M85" s="2" t="s">
        <v>39</v>
      </c>
      <c r="N85" s="4" t="s">
        <v>25</v>
      </c>
    </row>
    <row r="86" spans="1:14" ht="15" customHeight="1" x14ac:dyDescent="0.2">
      <c r="A86" s="2">
        <v>1085</v>
      </c>
      <c r="B86" s="3">
        <v>45616</v>
      </c>
      <c r="C86" s="2" t="s">
        <v>40</v>
      </c>
      <c r="D86" s="2" t="s">
        <v>15</v>
      </c>
      <c r="E86" s="2">
        <v>1</v>
      </c>
      <c r="F86" s="9">
        <v>39.200000000000003</v>
      </c>
      <c r="G86" s="2" t="s">
        <v>45</v>
      </c>
      <c r="H86" s="2" t="s">
        <v>17</v>
      </c>
      <c r="I86" s="4">
        <v>3</v>
      </c>
      <c r="J86" s="9">
        <f t="shared" si="4"/>
        <v>39.200000000000003</v>
      </c>
      <c r="K86" s="9">
        <v>14.9</v>
      </c>
      <c r="L86" s="9">
        <f t="shared" si="5"/>
        <v>24.300000000000004</v>
      </c>
      <c r="M86" s="2" t="s">
        <v>18</v>
      </c>
      <c r="N86" s="4" t="s">
        <v>25</v>
      </c>
    </row>
    <row r="87" spans="1:14" ht="15" customHeight="1" x14ac:dyDescent="0.2">
      <c r="A87" s="5">
        <v>1086</v>
      </c>
      <c r="B87" s="6">
        <v>45536</v>
      </c>
      <c r="C87" s="5" t="s">
        <v>44</v>
      </c>
      <c r="D87" s="5" t="s">
        <v>27</v>
      </c>
      <c r="E87" s="5">
        <v>1</v>
      </c>
      <c r="F87" s="10">
        <v>106.8</v>
      </c>
      <c r="G87" s="5" t="s">
        <v>30</v>
      </c>
      <c r="H87" s="5" t="s">
        <v>17</v>
      </c>
      <c r="I87" s="7">
        <v>3</v>
      </c>
      <c r="J87" s="10">
        <f t="shared" si="4"/>
        <v>106.8</v>
      </c>
      <c r="K87" s="10">
        <v>53.4</v>
      </c>
      <c r="L87" s="10">
        <f t="shared" si="5"/>
        <v>53.4</v>
      </c>
      <c r="M87" s="5" t="s">
        <v>28</v>
      </c>
      <c r="N87" s="7" t="s">
        <v>25</v>
      </c>
    </row>
    <row r="88" spans="1:14" ht="15" customHeight="1" x14ac:dyDescent="0.2">
      <c r="A88" s="5">
        <v>1087</v>
      </c>
      <c r="B88" s="6">
        <v>45616</v>
      </c>
      <c r="C88" s="5" t="s">
        <v>46</v>
      </c>
      <c r="D88" s="5" t="s">
        <v>32</v>
      </c>
      <c r="E88" s="5">
        <v>3</v>
      </c>
      <c r="F88" s="10">
        <v>185.05</v>
      </c>
      <c r="G88" s="5" t="s">
        <v>30</v>
      </c>
      <c r="H88" s="5" t="s">
        <v>17</v>
      </c>
      <c r="I88" s="7">
        <v>4</v>
      </c>
      <c r="J88" s="10">
        <f t="shared" si="4"/>
        <v>555.15000000000009</v>
      </c>
      <c r="K88" s="10">
        <v>305.33</v>
      </c>
      <c r="L88" s="10">
        <f t="shared" si="5"/>
        <v>249.82000000000011</v>
      </c>
      <c r="M88" s="5" t="s">
        <v>34</v>
      </c>
      <c r="N88" s="7" t="s">
        <v>25</v>
      </c>
    </row>
    <row r="89" spans="1:14" ht="15" customHeight="1" x14ac:dyDescent="0.2">
      <c r="A89" s="5">
        <v>1088</v>
      </c>
      <c r="B89" s="6">
        <v>45332</v>
      </c>
      <c r="C89" s="5" t="s">
        <v>14</v>
      </c>
      <c r="D89" s="5" t="s">
        <v>15</v>
      </c>
      <c r="E89" s="5">
        <v>1</v>
      </c>
      <c r="F89" s="10">
        <v>30.65</v>
      </c>
      <c r="G89" s="5" t="s">
        <v>22</v>
      </c>
      <c r="H89" s="5" t="s">
        <v>23</v>
      </c>
      <c r="I89" s="7">
        <v>2</v>
      </c>
      <c r="J89" s="10">
        <f t="shared" si="4"/>
        <v>30.65</v>
      </c>
      <c r="K89" s="10">
        <v>10.73</v>
      </c>
      <c r="L89" s="10">
        <f t="shared" si="5"/>
        <v>19.919999999999998</v>
      </c>
      <c r="M89" s="5" t="s">
        <v>18</v>
      </c>
      <c r="N89" s="7" t="s">
        <v>25</v>
      </c>
    </row>
    <row r="90" spans="1:14" ht="15" customHeight="1" x14ac:dyDescent="0.2">
      <c r="A90" s="5">
        <v>1089</v>
      </c>
      <c r="B90" s="6">
        <v>45654</v>
      </c>
      <c r="C90" s="5" t="s">
        <v>47</v>
      </c>
      <c r="D90" s="5" t="s">
        <v>21</v>
      </c>
      <c r="E90" s="5">
        <v>1</v>
      </c>
      <c r="F90" s="10">
        <v>30</v>
      </c>
      <c r="G90" s="5" t="s">
        <v>36</v>
      </c>
      <c r="H90" s="5" t="s">
        <v>17</v>
      </c>
      <c r="I90" s="7">
        <v>4</v>
      </c>
      <c r="J90" s="10">
        <f t="shared" si="4"/>
        <v>30</v>
      </c>
      <c r="K90" s="10">
        <v>12</v>
      </c>
      <c r="L90" s="10">
        <f t="shared" si="5"/>
        <v>18</v>
      </c>
      <c r="M90" s="5" t="s">
        <v>34</v>
      </c>
      <c r="N90" s="7" t="s">
        <v>25</v>
      </c>
    </row>
    <row r="91" spans="1:14" ht="15" customHeight="1" x14ac:dyDescent="0.2">
      <c r="A91" s="2">
        <v>1090</v>
      </c>
      <c r="B91" s="3">
        <v>45605</v>
      </c>
      <c r="C91" s="2" t="s">
        <v>20</v>
      </c>
      <c r="D91" s="2" t="s">
        <v>21</v>
      </c>
      <c r="E91" s="2">
        <v>1</v>
      </c>
      <c r="F91" s="9">
        <v>20.9</v>
      </c>
      <c r="G91" s="2" t="s">
        <v>30</v>
      </c>
      <c r="H91" s="2" t="s">
        <v>17</v>
      </c>
      <c r="I91" s="4">
        <v>3</v>
      </c>
      <c r="J91" s="9">
        <f t="shared" si="4"/>
        <v>20.9</v>
      </c>
      <c r="K91" s="9">
        <v>6.27</v>
      </c>
      <c r="L91" s="9">
        <f t="shared" si="5"/>
        <v>14.629999999999999</v>
      </c>
      <c r="M91" s="2" t="s">
        <v>34</v>
      </c>
      <c r="N91" s="4" t="s">
        <v>19</v>
      </c>
    </row>
    <row r="92" spans="1:14" ht="15" customHeight="1" x14ac:dyDescent="0.2">
      <c r="A92" s="2">
        <v>1091</v>
      </c>
      <c r="B92" s="3">
        <v>45591</v>
      </c>
      <c r="C92" s="2" t="s">
        <v>35</v>
      </c>
      <c r="D92" s="2" t="s">
        <v>21</v>
      </c>
      <c r="E92" s="2">
        <v>1</v>
      </c>
      <c r="F92" s="9">
        <v>54.25</v>
      </c>
      <c r="G92" s="2" t="s">
        <v>45</v>
      </c>
      <c r="H92" s="2" t="s">
        <v>23</v>
      </c>
      <c r="I92" s="4">
        <v>2</v>
      </c>
      <c r="J92" s="9">
        <f t="shared" si="4"/>
        <v>54.25</v>
      </c>
      <c r="K92" s="9">
        <v>24.41</v>
      </c>
      <c r="L92" s="9">
        <f t="shared" si="5"/>
        <v>29.84</v>
      </c>
      <c r="M92" s="2" t="s">
        <v>34</v>
      </c>
      <c r="N92" s="4" t="s">
        <v>25</v>
      </c>
    </row>
    <row r="93" spans="1:14" ht="15" customHeight="1" x14ac:dyDescent="0.2">
      <c r="A93" s="2">
        <v>1092</v>
      </c>
      <c r="B93" s="3">
        <v>45621</v>
      </c>
      <c r="C93" s="2" t="s">
        <v>42</v>
      </c>
      <c r="D93" s="2" t="s">
        <v>21</v>
      </c>
      <c r="E93" s="2">
        <v>1</v>
      </c>
      <c r="F93" s="9">
        <v>55.75</v>
      </c>
      <c r="G93" s="2" t="s">
        <v>36</v>
      </c>
      <c r="H93" s="2" t="s">
        <v>23</v>
      </c>
      <c r="I93" s="4">
        <v>5</v>
      </c>
      <c r="J93" s="9">
        <f t="shared" si="4"/>
        <v>55.75</v>
      </c>
      <c r="K93" s="9">
        <v>27.88</v>
      </c>
      <c r="L93" s="9">
        <f t="shared" si="5"/>
        <v>27.87</v>
      </c>
      <c r="M93" s="2" t="s">
        <v>39</v>
      </c>
      <c r="N93" s="4" t="s">
        <v>25</v>
      </c>
    </row>
    <row r="94" spans="1:14" ht="15" customHeight="1" x14ac:dyDescent="0.2">
      <c r="A94" s="2">
        <v>1093</v>
      </c>
      <c r="B94" s="3">
        <v>45506</v>
      </c>
      <c r="C94" s="2" t="s">
        <v>42</v>
      </c>
      <c r="D94" s="2" t="s">
        <v>21</v>
      </c>
      <c r="E94" s="2">
        <v>1</v>
      </c>
      <c r="F94" s="9">
        <v>48.9</v>
      </c>
      <c r="G94" s="2" t="s">
        <v>22</v>
      </c>
      <c r="H94" s="2" t="s">
        <v>23</v>
      </c>
      <c r="I94" s="4">
        <v>4</v>
      </c>
      <c r="J94" s="9">
        <f t="shared" si="4"/>
        <v>48.9</v>
      </c>
      <c r="K94" s="9">
        <v>24.45</v>
      </c>
      <c r="L94" s="9">
        <f t="shared" si="5"/>
        <v>24.45</v>
      </c>
      <c r="M94" s="2" t="s">
        <v>34</v>
      </c>
      <c r="N94" s="4" t="s">
        <v>25</v>
      </c>
    </row>
    <row r="95" spans="1:14" ht="15" customHeight="1" x14ac:dyDescent="0.2">
      <c r="A95" s="5">
        <v>1094</v>
      </c>
      <c r="B95" s="6">
        <v>45355</v>
      </c>
      <c r="C95" s="5" t="s">
        <v>37</v>
      </c>
      <c r="D95" s="5" t="s">
        <v>15</v>
      </c>
      <c r="E95" s="5">
        <v>1</v>
      </c>
      <c r="F95" s="10">
        <v>58.45</v>
      </c>
      <c r="G95" s="5" t="s">
        <v>36</v>
      </c>
      <c r="H95" s="5" t="s">
        <v>17</v>
      </c>
      <c r="I95" s="7">
        <v>5</v>
      </c>
      <c r="J95" s="10">
        <f t="shared" si="4"/>
        <v>58.45</v>
      </c>
      <c r="K95" s="10">
        <v>23.38</v>
      </c>
      <c r="L95" s="10">
        <f t="shared" si="5"/>
        <v>35.070000000000007</v>
      </c>
      <c r="M95" s="5" t="s">
        <v>34</v>
      </c>
      <c r="N95" s="7" t="s">
        <v>25</v>
      </c>
    </row>
    <row r="96" spans="1:14" ht="15" customHeight="1" x14ac:dyDescent="0.2">
      <c r="A96" s="2">
        <v>1095</v>
      </c>
      <c r="B96" s="3">
        <v>45392</v>
      </c>
      <c r="C96" s="2" t="s">
        <v>20</v>
      </c>
      <c r="D96" s="2" t="s">
        <v>21</v>
      </c>
      <c r="E96" s="2">
        <v>1</v>
      </c>
      <c r="F96" s="9">
        <v>26.85</v>
      </c>
      <c r="G96" s="2" t="s">
        <v>43</v>
      </c>
      <c r="H96" s="2" t="s">
        <v>33</v>
      </c>
      <c r="I96" s="4">
        <v>4</v>
      </c>
      <c r="J96" s="9">
        <f t="shared" si="4"/>
        <v>26.85</v>
      </c>
      <c r="K96" s="9">
        <v>8.0500000000000007</v>
      </c>
      <c r="L96" s="9">
        <f t="shared" si="5"/>
        <v>18.8</v>
      </c>
      <c r="M96" s="2" t="s">
        <v>24</v>
      </c>
      <c r="N96" s="4" t="s">
        <v>25</v>
      </c>
    </row>
    <row r="97" spans="1:14" ht="15" customHeight="1" x14ac:dyDescent="0.2">
      <c r="A97" s="2">
        <v>1096</v>
      </c>
      <c r="B97" s="3">
        <v>45520</v>
      </c>
      <c r="C97" s="2" t="s">
        <v>42</v>
      </c>
      <c r="D97" s="2" t="s">
        <v>21</v>
      </c>
      <c r="E97" s="2">
        <v>2</v>
      </c>
      <c r="F97" s="9">
        <v>60</v>
      </c>
      <c r="G97" s="2" t="s">
        <v>30</v>
      </c>
      <c r="H97" s="2" t="s">
        <v>33</v>
      </c>
      <c r="I97" s="4">
        <v>5</v>
      </c>
      <c r="J97" s="9">
        <f t="shared" si="4"/>
        <v>120</v>
      </c>
      <c r="K97" s="9">
        <v>60</v>
      </c>
      <c r="L97" s="9">
        <f t="shared" si="5"/>
        <v>60</v>
      </c>
      <c r="M97" s="2" t="s">
        <v>34</v>
      </c>
      <c r="N97" s="4" t="s">
        <v>25</v>
      </c>
    </row>
    <row r="98" spans="1:14" ht="15" customHeight="1" x14ac:dyDescent="0.2">
      <c r="A98" s="5">
        <v>1097</v>
      </c>
      <c r="B98" s="6">
        <v>45303</v>
      </c>
      <c r="C98" s="5" t="s">
        <v>29</v>
      </c>
      <c r="D98" s="5" t="s">
        <v>27</v>
      </c>
      <c r="E98" s="5">
        <v>2</v>
      </c>
      <c r="F98" s="10">
        <v>128.25</v>
      </c>
      <c r="G98" s="5" t="s">
        <v>30</v>
      </c>
      <c r="H98" s="5" t="s">
        <v>17</v>
      </c>
      <c r="I98" s="7">
        <v>4</v>
      </c>
      <c r="J98" s="10">
        <f t="shared" ref="J98:J129" si="6">E98*F98</f>
        <v>256.5</v>
      </c>
      <c r="K98" s="10">
        <v>115.42</v>
      </c>
      <c r="L98" s="10">
        <f t="shared" ref="L98:L129" si="7">J98-K98</f>
        <v>141.07999999999998</v>
      </c>
      <c r="M98" s="5" t="s">
        <v>28</v>
      </c>
      <c r="N98" s="7" t="s">
        <v>25</v>
      </c>
    </row>
    <row r="99" spans="1:14" ht="15" customHeight="1" x14ac:dyDescent="0.2">
      <c r="A99" s="2">
        <v>1098</v>
      </c>
      <c r="B99" s="3">
        <v>45445</v>
      </c>
      <c r="C99" s="2" t="s">
        <v>38</v>
      </c>
      <c r="D99" s="2" t="s">
        <v>32</v>
      </c>
      <c r="E99" s="2">
        <v>1</v>
      </c>
      <c r="F99" s="9">
        <v>85.65</v>
      </c>
      <c r="G99" s="2" t="s">
        <v>30</v>
      </c>
      <c r="H99" s="2" t="s">
        <v>23</v>
      </c>
      <c r="I99" s="4">
        <v>4</v>
      </c>
      <c r="J99" s="9">
        <f t="shared" si="6"/>
        <v>85.65</v>
      </c>
      <c r="K99" s="9">
        <v>44.54</v>
      </c>
      <c r="L99" s="9">
        <f t="shared" si="7"/>
        <v>41.110000000000007</v>
      </c>
      <c r="M99" s="2" t="s">
        <v>39</v>
      </c>
      <c r="N99" s="4" t="s">
        <v>25</v>
      </c>
    </row>
    <row r="100" spans="1:14" ht="15" customHeight="1" x14ac:dyDescent="0.2">
      <c r="A100" s="2">
        <v>1099</v>
      </c>
      <c r="B100" s="3">
        <v>45602</v>
      </c>
      <c r="C100" s="2" t="s">
        <v>38</v>
      </c>
      <c r="D100" s="2" t="s">
        <v>32</v>
      </c>
      <c r="E100" s="2">
        <v>1</v>
      </c>
      <c r="F100" s="9">
        <v>64.099999999999994</v>
      </c>
      <c r="G100" s="2" t="s">
        <v>36</v>
      </c>
      <c r="H100" s="2" t="s">
        <v>17</v>
      </c>
      <c r="I100" s="4">
        <v>4</v>
      </c>
      <c r="J100" s="9">
        <f t="shared" si="6"/>
        <v>64.099999999999994</v>
      </c>
      <c r="K100" s="9">
        <v>33.33</v>
      </c>
      <c r="L100" s="9">
        <f t="shared" si="7"/>
        <v>30.769999999999996</v>
      </c>
      <c r="M100" s="2" t="s">
        <v>18</v>
      </c>
      <c r="N100" s="4" t="s">
        <v>25</v>
      </c>
    </row>
    <row r="101" spans="1:14" ht="15" customHeight="1" x14ac:dyDescent="0.2">
      <c r="A101" s="5">
        <v>1100</v>
      </c>
      <c r="B101" s="6">
        <v>45432</v>
      </c>
      <c r="C101" s="5" t="s">
        <v>38</v>
      </c>
      <c r="D101" s="5" t="s">
        <v>32</v>
      </c>
      <c r="E101" s="5">
        <v>2</v>
      </c>
      <c r="F101" s="10">
        <v>43.5</v>
      </c>
      <c r="G101" s="5" t="s">
        <v>43</v>
      </c>
      <c r="H101" s="5" t="s">
        <v>17</v>
      </c>
      <c r="I101" s="7">
        <v>5</v>
      </c>
      <c r="J101" s="10">
        <f t="shared" si="6"/>
        <v>87</v>
      </c>
      <c r="K101" s="10">
        <v>45.24</v>
      </c>
      <c r="L101" s="10">
        <f t="shared" si="7"/>
        <v>41.76</v>
      </c>
      <c r="M101" s="5" t="s">
        <v>28</v>
      </c>
      <c r="N101" s="7" t="s">
        <v>25</v>
      </c>
    </row>
    <row r="102" spans="1:14" ht="15" customHeight="1" x14ac:dyDescent="0.2">
      <c r="A102" s="5">
        <v>1101</v>
      </c>
      <c r="B102" s="6">
        <v>45571</v>
      </c>
      <c r="C102" s="5" t="s">
        <v>40</v>
      </c>
      <c r="D102" s="5" t="s">
        <v>15</v>
      </c>
      <c r="E102" s="5">
        <v>1</v>
      </c>
      <c r="F102" s="10">
        <v>45.95</v>
      </c>
      <c r="G102" s="5" t="s">
        <v>22</v>
      </c>
      <c r="H102" s="5" t="s">
        <v>23</v>
      </c>
      <c r="I102" s="7">
        <v>4</v>
      </c>
      <c r="J102" s="10">
        <f t="shared" si="6"/>
        <v>45.95</v>
      </c>
      <c r="K102" s="10">
        <v>17.46</v>
      </c>
      <c r="L102" s="10">
        <f t="shared" si="7"/>
        <v>28.490000000000002</v>
      </c>
      <c r="M102" s="5" t="s">
        <v>39</v>
      </c>
      <c r="N102" s="7" t="s">
        <v>25</v>
      </c>
    </row>
    <row r="103" spans="1:14" ht="15" customHeight="1" x14ac:dyDescent="0.2">
      <c r="A103" s="2">
        <v>1102</v>
      </c>
      <c r="B103" s="3">
        <v>45588</v>
      </c>
      <c r="C103" s="2" t="s">
        <v>31</v>
      </c>
      <c r="D103" s="2" t="s">
        <v>32</v>
      </c>
      <c r="E103" s="2">
        <v>1</v>
      </c>
      <c r="F103" s="9">
        <v>57.15</v>
      </c>
      <c r="G103" s="2" t="s">
        <v>36</v>
      </c>
      <c r="H103" s="2" t="s">
        <v>17</v>
      </c>
      <c r="I103" s="4">
        <v>4</v>
      </c>
      <c r="J103" s="9">
        <f t="shared" si="6"/>
        <v>57.15</v>
      </c>
      <c r="K103" s="9">
        <v>28.57</v>
      </c>
      <c r="L103" s="9">
        <f t="shared" si="7"/>
        <v>28.58</v>
      </c>
      <c r="M103" s="2" t="s">
        <v>18</v>
      </c>
      <c r="N103" s="4" t="s">
        <v>19</v>
      </c>
    </row>
    <row r="104" spans="1:14" ht="15" customHeight="1" x14ac:dyDescent="0.2">
      <c r="A104" s="5">
        <v>1103</v>
      </c>
      <c r="B104" s="6">
        <v>45635</v>
      </c>
      <c r="C104" s="5" t="s">
        <v>37</v>
      </c>
      <c r="D104" s="5" t="s">
        <v>15</v>
      </c>
      <c r="E104" s="5">
        <v>2</v>
      </c>
      <c r="F104" s="10">
        <v>31.55</v>
      </c>
      <c r="G104" s="5" t="s">
        <v>22</v>
      </c>
      <c r="H104" s="5" t="s">
        <v>23</v>
      </c>
      <c r="I104" s="7">
        <v>5</v>
      </c>
      <c r="J104" s="10">
        <f t="shared" si="6"/>
        <v>63.1</v>
      </c>
      <c r="K104" s="10">
        <v>25.24</v>
      </c>
      <c r="L104" s="10">
        <f t="shared" si="7"/>
        <v>37.86</v>
      </c>
      <c r="M104" s="5" t="s">
        <v>39</v>
      </c>
      <c r="N104" s="7" t="s">
        <v>25</v>
      </c>
    </row>
    <row r="105" spans="1:14" ht="15" customHeight="1" x14ac:dyDescent="0.2">
      <c r="A105" s="5">
        <v>1104</v>
      </c>
      <c r="B105" s="6">
        <v>45521</v>
      </c>
      <c r="C105" s="5" t="s">
        <v>44</v>
      </c>
      <c r="D105" s="5" t="s">
        <v>27</v>
      </c>
      <c r="E105" s="5">
        <v>1</v>
      </c>
      <c r="F105" s="10">
        <v>124.65</v>
      </c>
      <c r="G105" s="5" t="s">
        <v>16</v>
      </c>
      <c r="H105" s="5" t="s">
        <v>33</v>
      </c>
      <c r="I105" s="7">
        <v>2</v>
      </c>
      <c r="J105" s="10">
        <f t="shared" si="6"/>
        <v>124.65</v>
      </c>
      <c r="K105" s="10">
        <v>62.33</v>
      </c>
      <c r="L105" s="10">
        <f t="shared" si="7"/>
        <v>62.320000000000007</v>
      </c>
      <c r="M105" s="5" t="s">
        <v>24</v>
      </c>
      <c r="N105" s="7" t="s">
        <v>25</v>
      </c>
    </row>
    <row r="106" spans="1:14" ht="15" customHeight="1" x14ac:dyDescent="0.2">
      <c r="A106" s="2">
        <v>1105</v>
      </c>
      <c r="B106" s="3">
        <v>45431</v>
      </c>
      <c r="C106" s="2" t="s">
        <v>29</v>
      </c>
      <c r="D106" s="2" t="s">
        <v>27</v>
      </c>
      <c r="E106" s="2">
        <v>1</v>
      </c>
      <c r="F106" s="9">
        <v>111.95</v>
      </c>
      <c r="G106" s="2" t="s">
        <v>22</v>
      </c>
      <c r="H106" s="2" t="s">
        <v>17</v>
      </c>
      <c r="I106" s="4">
        <v>4</v>
      </c>
      <c r="J106" s="9">
        <f t="shared" si="6"/>
        <v>111.95</v>
      </c>
      <c r="K106" s="9">
        <v>50.38</v>
      </c>
      <c r="L106" s="9">
        <f t="shared" si="7"/>
        <v>61.57</v>
      </c>
      <c r="M106" s="2" t="s">
        <v>39</v>
      </c>
      <c r="N106" s="4" t="s">
        <v>25</v>
      </c>
    </row>
    <row r="107" spans="1:14" ht="15" customHeight="1" x14ac:dyDescent="0.2">
      <c r="A107" s="2">
        <v>1106</v>
      </c>
      <c r="B107" s="3">
        <v>45616</v>
      </c>
      <c r="C107" s="2" t="s">
        <v>35</v>
      </c>
      <c r="D107" s="2" t="s">
        <v>21</v>
      </c>
      <c r="E107" s="2">
        <v>1</v>
      </c>
      <c r="F107" s="9">
        <v>27.8</v>
      </c>
      <c r="G107" s="2" t="s">
        <v>22</v>
      </c>
      <c r="H107" s="2" t="s">
        <v>33</v>
      </c>
      <c r="I107" s="4">
        <v>5</v>
      </c>
      <c r="J107" s="9">
        <f t="shared" si="6"/>
        <v>27.8</v>
      </c>
      <c r="K107" s="9">
        <v>12.51</v>
      </c>
      <c r="L107" s="9">
        <f t="shared" si="7"/>
        <v>15.290000000000001</v>
      </c>
      <c r="M107" s="2" t="s">
        <v>34</v>
      </c>
      <c r="N107" s="4" t="s">
        <v>25</v>
      </c>
    </row>
    <row r="108" spans="1:14" ht="15" customHeight="1" x14ac:dyDescent="0.2">
      <c r="A108" s="5">
        <v>1107</v>
      </c>
      <c r="B108" s="6">
        <v>45412</v>
      </c>
      <c r="C108" s="5" t="s">
        <v>38</v>
      </c>
      <c r="D108" s="5" t="s">
        <v>32</v>
      </c>
      <c r="E108" s="5">
        <v>2</v>
      </c>
      <c r="F108" s="10">
        <v>67.05</v>
      </c>
      <c r="G108" s="5" t="s">
        <v>30</v>
      </c>
      <c r="H108" s="5" t="s">
        <v>33</v>
      </c>
      <c r="I108" s="7">
        <v>5</v>
      </c>
      <c r="J108" s="10">
        <f t="shared" si="6"/>
        <v>134.1</v>
      </c>
      <c r="K108" s="10">
        <v>69.73</v>
      </c>
      <c r="L108" s="10">
        <f t="shared" si="7"/>
        <v>64.36999999999999</v>
      </c>
      <c r="M108" s="5" t="s">
        <v>34</v>
      </c>
      <c r="N108" s="7" t="s">
        <v>25</v>
      </c>
    </row>
    <row r="109" spans="1:14" ht="15" customHeight="1" x14ac:dyDescent="0.2">
      <c r="A109" s="5">
        <v>1108</v>
      </c>
      <c r="B109" s="6">
        <v>45310</v>
      </c>
      <c r="C109" s="5" t="s">
        <v>26</v>
      </c>
      <c r="D109" s="5" t="s">
        <v>27</v>
      </c>
      <c r="E109" s="5">
        <v>2</v>
      </c>
      <c r="F109" s="10">
        <v>133.25</v>
      </c>
      <c r="G109" s="5" t="s">
        <v>30</v>
      </c>
      <c r="H109" s="5" t="s">
        <v>17</v>
      </c>
      <c r="I109" s="7">
        <v>2</v>
      </c>
      <c r="J109" s="10">
        <f t="shared" si="6"/>
        <v>266.5</v>
      </c>
      <c r="K109" s="10">
        <v>127.92</v>
      </c>
      <c r="L109" s="10">
        <f t="shared" si="7"/>
        <v>138.57999999999998</v>
      </c>
      <c r="M109" s="5" t="s">
        <v>34</v>
      </c>
      <c r="N109" s="7" t="s">
        <v>19</v>
      </c>
    </row>
    <row r="110" spans="1:14" ht="15" customHeight="1" x14ac:dyDescent="0.2">
      <c r="A110" s="2">
        <v>1109</v>
      </c>
      <c r="B110" s="3">
        <v>45383</v>
      </c>
      <c r="C110" s="2" t="s">
        <v>40</v>
      </c>
      <c r="D110" s="2" t="s">
        <v>15</v>
      </c>
      <c r="E110" s="2">
        <v>1</v>
      </c>
      <c r="F110" s="9">
        <v>33.950000000000003</v>
      </c>
      <c r="G110" s="2" t="s">
        <v>30</v>
      </c>
      <c r="H110" s="2" t="s">
        <v>17</v>
      </c>
      <c r="I110" s="4">
        <v>3</v>
      </c>
      <c r="J110" s="9">
        <f t="shared" si="6"/>
        <v>33.950000000000003</v>
      </c>
      <c r="K110" s="9">
        <v>12.9</v>
      </c>
      <c r="L110" s="9">
        <f t="shared" si="7"/>
        <v>21.050000000000004</v>
      </c>
      <c r="M110" s="2" t="s">
        <v>18</v>
      </c>
      <c r="N110" s="4" t="s">
        <v>19</v>
      </c>
    </row>
    <row r="111" spans="1:14" ht="15" customHeight="1" x14ac:dyDescent="0.2">
      <c r="A111" s="5">
        <v>1110</v>
      </c>
      <c r="B111" s="6">
        <v>45622</v>
      </c>
      <c r="C111" s="5" t="s">
        <v>37</v>
      </c>
      <c r="D111" s="5" t="s">
        <v>15</v>
      </c>
      <c r="E111" s="5">
        <v>1</v>
      </c>
      <c r="F111" s="10">
        <v>51.7</v>
      </c>
      <c r="G111" s="5" t="s">
        <v>45</v>
      </c>
      <c r="H111" s="5" t="s">
        <v>17</v>
      </c>
      <c r="I111" s="7">
        <v>3</v>
      </c>
      <c r="J111" s="10">
        <f t="shared" si="6"/>
        <v>51.7</v>
      </c>
      <c r="K111" s="10">
        <v>20.68</v>
      </c>
      <c r="L111" s="10">
        <f t="shared" si="7"/>
        <v>31.020000000000003</v>
      </c>
      <c r="M111" s="5" t="s">
        <v>39</v>
      </c>
      <c r="N111" s="7" t="s">
        <v>25</v>
      </c>
    </row>
    <row r="112" spans="1:14" ht="15" customHeight="1" x14ac:dyDescent="0.2">
      <c r="A112" s="2">
        <v>1111</v>
      </c>
      <c r="B112" s="3">
        <v>45522</v>
      </c>
      <c r="C112" s="2" t="s">
        <v>29</v>
      </c>
      <c r="D112" s="2" t="s">
        <v>27</v>
      </c>
      <c r="E112" s="2">
        <v>1</v>
      </c>
      <c r="F112" s="9">
        <v>123.45</v>
      </c>
      <c r="G112" s="2" t="s">
        <v>36</v>
      </c>
      <c r="H112" s="2" t="s">
        <v>33</v>
      </c>
      <c r="I112" s="4">
        <v>5</v>
      </c>
      <c r="J112" s="9">
        <f t="shared" si="6"/>
        <v>123.45</v>
      </c>
      <c r="K112" s="9">
        <v>55.55</v>
      </c>
      <c r="L112" s="9">
        <f t="shared" si="7"/>
        <v>67.900000000000006</v>
      </c>
      <c r="M112" s="2" t="s">
        <v>24</v>
      </c>
      <c r="N112" s="4" t="s">
        <v>25</v>
      </c>
    </row>
    <row r="113" spans="1:14" ht="15" customHeight="1" x14ac:dyDescent="0.2">
      <c r="A113" s="5">
        <v>1112</v>
      </c>
      <c r="B113" s="6">
        <v>45492</v>
      </c>
      <c r="C113" s="5" t="s">
        <v>40</v>
      </c>
      <c r="D113" s="5" t="s">
        <v>15</v>
      </c>
      <c r="E113" s="5">
        <v>1</v>
      </c>
      <c r="F113" s="10">
        <v>40.950000000000003</v>
      </c>
      <c r="G113" s="5" t="s">
        <v>36</v>
      </c>
      <c r="H113" s="5" t="s">
        <v>23</v>
      </c>
      <c r="I113" s="7">
        <v>5</v>
      </c>
      <c r="J113" s="10">
        <f t="shared" si="6"/>
        <v>40.950000000000003</v>
      </c>
      <c r="K113" s="10">
        <v>15.56</v>
      </c>
      <c r="L113" s="10">
        <f t="shared" si="7"/>
        <v>25.39</v>
      </c>
      <c r="M113" s="5" t="s">
        <v>18</v>
      </c>
      <c r="N113" s="7" t="s">
        <v>25</v>
      </c>
    </row>
    <row r="114" spans="1:14" ht="15" customHeight="1" x14ac:dyDescent="0.2">
      <c r="A114" s="2">
        <v>1113</v>
      </c>
      <c r="B114" s="3">
        <v>45436</v>
      </c>
      <c r="C114" s="2" t="s">
        <v>37</v>
      </c>
      <c r="D114" s="2" t="s">
        <v>15</v>
      </c>
      <c r="E114" s="2">
        <v>1</v>
      </c>
      <c r="F114" s="9">
        <v>50</v>
      </c>
      <c r="G114" s="2" t="s">
        <v>45</v>
      </c>
      <c r="H114" s="2" t="s">
        <v>17</v>
      </c>
      <c r="I114" s="4">
        <v>1</v>
      </c>
      <c r="J114" s="9">
        <f t="shared" si="6"/>
        <v>50</v>
      </c>
      <c r="K114" s="9">
        <v>20</v>
      </c>
      <c r="L114" s="9">
        <f t="shared" si="7"/>
        <v>30</v>
      </c>
      <c r="M114" s="2" t="s">
        <v>39</v>
      </c>
      <c r="N114" s="4" t="s">
        <v>19</v>
      </c>
    </row>
    <row r="115" spans="1:14" ht="15" customHeight="1" x14ac:dyDescent="0.2">
      <c r="A115" s="2">
        <v>1114</v>
      </c>
      <c r="B115" s="3">
        <v>45413</v>
      </c>
      <c r="C115" s="2" t="s">
        <v>31</v>
      </c>
      <c r="D115" s="2" t="s">
        <v>32</v>
      </c>
      <c r="E115" s="2">
        <v>1</v>
      </c>
      <c r="F115" s="9">
        <v>67.25</v>
      </c>
      <c r="G115" s="2" t="s">
        <v>16</v>
      </c>
      <c r="H115" s="2" t="s">
        <v>33</v>
      </c>
      <c r="I115" s="4">
        <v>4</v>
      </c>
      <c r="J115" s="9">
        <f t="shared" si="6"/>
        <v>67.25</v>
      </c>
      <c r="K115" s="9">
        <v>33.619999999999997</v>
      </c>
      <c r="L115" s="9">
        <f t="shared" si="7"/>
        <v>33.630000000000003</v>
      </c>
      <c r="M115" s="2" t="s">
        <v>34</v>
      </c>
      <c r="N115" s="4" t="s">
        <v>25</v>
      </c>
    </row>
    <row r="116" spans="1:14" ht="15" customHeight="1" x14ac:dyDescent="0.2">
      <c r="A116" s="5">
        <v>1115</v>
      </c>
      <c r="B116" s="6">
        <v>45617</v>
      </c>
      <c r="C116" s="5" t="s">
        <v>35</v>
      </c>
      <c r="D116" s="5" t="s">
        <v>21</v>
      </c>
      <c r="E116" s="5">
        <v>1</v>
      </c>
      <c r="F116" s="10">
        <v>31.65</v>
      </c>
      <c r="G116" s="5" t="s">
        <v>22</v>
      </c>
      <c r="H116" s="5" t="s">
        <v>23</v>
      </c>
      <c r="I116" s="7">
        <v>2</v>
      </c>
      <c r="J116" s="10">
        <f t="shared" si="6"/>
        <v>31.65</v>
      </c>
      <c r="K116" s="10">
        <v>14.24</v>
      </c>
      <c r="L116" s="10">
        <f t="shared" si="7"/>
        <v>17.409999999999997</v>
      </c>
      <c r="M116" s="5" t="s">
        <v>18</v>
      </c>
      <c r="N116" s="7" t="s">
        <v>19</v>
      </c>
    </row>
    <row r="117" spans="1:14" ht="15" customHeight="1" x14ac:dyDescent="0.2">
      <c r="A117" s="5">
        <v>1116</v>
      </c>
      <c r="B117" s="6">
        <v>45447</v>
      </c>
      <c r="C117" s="5" t="s">
        <v>29</v>
      </c>
      <c r="D117" s="5" t="s">
        <v>27</v>
      </c>
      <c r="E117" s="5">
        <v>1</v>
      </c>
      <c r="F117" s="10">
        <v>85.1</v>
      </c>
      <c r="G117" s="5" t="s">
        <v>16</v>
      </c>
      <c r="H117" s="5" t="s">
        <v>33</v>
      </c>
      <c r="I117" s="7">
        <v>4</v>
      </c>
      <c r="J117" s="10">
        <f t="shared" si="6"/>
        <v>85.1</v>
      </c>
      <c r="K117" s="10">
        <v>38.299999999999997</v>
      </c>
      <c r="L117" s="10">
        <f t="shared" si="7"/>
        <v>46.8</v>
      </c>
      <c r="M117" s="5" t="s">
        <v>24</v>
      </c>
      <c r="N117" s="7" t="s">
        <v>25</v>
      </c>
    </row>
    <row r="118" spans="1:14" ht="15" customHeight="1" x14ac:dyDescent="0.2">
      <c r="A118" s="2">
        <v>1117</v>
      </c>
      <c r="B118" s="3">
        <v>45380</v>
      </c>
      <c r="C118" s="2" t="s">
        <v>14</v>
      </c>
      <c r="D118" s="2" t="s">
        <v>15</v>
      </c>
      <c r="E118" s="2">
        <v>1</v>
      </c>
      <c r="F118" s="9">
        <v>23.3</v>
      </c>
      <c r="G118" s="2" t="s">
        <v>45</v>
      </c>
      <c r="H118" s="2" t="s">
        <v>33</v>
      </c>
      <c r="I118" s="4">
        <v>3</v>
      </c>
      <c r="J118" s="9">
        <f t="shared" si="6"/>
        <v>23.3</v>
      </c>
      <c r="K118" s="9">
        <v>8.15</v>
      </c>
      <c r="L118" s="9">
        <f t="shared" si="7"/>
        <v>15.15</v>
      </c>
      <c r="M118" s="2" t="s">
        <v>34</v>
      </c>
      <c r="N118" s="4" t="s">
        <v>25</v>
      </c>
    </row>
    <row r="119" spans="1:14" ht="15" customHeight="1" x14ac:dyDescent="0.2">
      <c r="A119" s="5">
        <v>1118</v>
      </c>
      <c r="B119" s="6">
        <v>45334</v>
      </c>
      <c r="C119" s="5" t="s">
        <v>42</v>
      </c>
      <c r="D119" s="5" t="s">
        <v>21</v>
      </c>
      <c r="E119" s="5">
        <v>1</v>
      </c>
      <c r="F119" s="10">
        <v>73.7</v>
      </c>
      <c r="G119" s="5" t="s">
        <v>43</v>
      </c>
      <c r="H119" s="5" t="s">
        <v>23</v>
      </c>
      <c r="I119" s="7">
        <v>3</v>
      </c>
      <c r="J119" s="10">
        <f t="shared" si="6"/>
        <v>73.7</v>
      </c>
      <c r="K119" s="10">
        <v>36.85</v>
      </c>
      <c r="L119" s="10">
        <f t="shared" si="7"/>
        <v>36.85</v>
      </c>
      <c r="M119" s="5" t="s">
        <v>39</v>
      </c>
      <c r="N119" s="7" t="s">
        <v>25</v>
      </c>
    </row>
    <row r="120" spans="1:14" ht="15" customHeight="1" x14ac:dyDescent="0.2">
      <c r="A120" s="2">
        <v>1119</v>
      </c>
      <c r="B120" s="3">
        <v>45483</v>
      </c>
      <c r="C120" s="2" t="s">
        <v>38</v>
      </c>
      <c r="D120" s="2" t="s">
        <v>32</v>
      </c>
      <c r="E120" s="2">
        <v>2</v>
      </c>
      <c r="F120" s="9">
        <v>73.8</v>
      </c>
      <c r="G120" s="2" t="s">
        <v>36</v>
      </c>
      <c r="H120" s="2" t="s">
        <v>23</v>
      </c>
      <c r="I120" s="4">
        <v>2</v>
      </c>
      <c r="J120" s="9">
        <f t="shared" si="6"/>
        <v>147.6</v>
      </c>
      <c r="K120" s="9">
        <v>76.75</v>
      </c>
      <c r="L120" s="9">
        <f t="shared" si="7"/>
        <v>70.849999999999994</v>
      </c>
      <c r="M120" s="2" t="s">
        <v>28</v>
      </c>
      <c r="N120" s="4" t="s">
        <v>19</v>
      </c>
    </row>
    <row r="121" spans="1:14" ht="15" customHeight="1" x14ac:dyDescent="0.2">
      <c r="A121" s="5">
        <v>1120</v>
      </c>
      <c r="B121" s="6">
        <v>45491</v>
      </c>
      <c r="C121" s="5" t="s">
        <v>40</v>
      </c>
      <c r="D121" s="5" t="s">
        <v>15</v>
      </c>
      <c r="E121" s="5">
        <v>1</v>
      </c>
      <c r="F121" s="10">
        <v>38.4</v>
      </c>
      <c r="G121" s="5" t="s">
        <v>22</v>
      </c>
      <c r="H121" s="5" t="s">
        <v>33</v>
      </c>
      <c r="I121" s="7">
        <v>5</v>
      </c>
      <c r="J121" s="10">
        <f t="shared" si="6"/>
        <v>38.4</v>
      </c>
      <c r="K121" s="10">
        <v>14.59</v>
      </c>
      <c r="L121" s="10">
        <f t="shared" si="7"/>
        <v>23.81</v>
      </c>
      <c r="M121" s="5" t="s">
        <v>28</v>
      </c>
      <c r="N121" s="7" t="s">
        <v>25</v>
      </c>
    </row>
    <row r="122" spans="1:14" ht="15" customHeight="1" x14ac:dyDescent="0.2">
      <c r="A122" s="2">
        <v>1121</v>
      </c>
      <c r="B122" s="3">
        <v>45608</v>
      </c>
      <c r="C122" s="2" t="s">
        <v>26</v>
      </c>
      <c r="D122" s="2" t="s">
        <v>27</v>
      </c>
      <c r="E122" s="2">
        <v>1</v>
      </c>
      <c r="F122" s="9">
        <v>127.25</v>
      </c>
      <c r="G122" s="2" t="s">
        <v>16</v>
      </c>
      <c r="H122" s="2" t="s">
        <v>23</v>
      </c>
      <c r="I122" s="4">
        <v>3</v>
      </c>
      <c r="J122" s="9">
        <f t="shared" si="6"/>
        <v>127.25</v>
      </c>
      <c r="K122" s="9">
        <v>61.08</v>
      </c>
      <c r="L122" s="9">
        <f t="shared" si="7"/>
        <v>66.17</v>
      </c>
      <c r="M122" s="2" t="s">
        <v>34</v>
      </c>
      <c r="N122" s="4" t="s">
        <v>19</v>
      </c>
    </row>
    <row r="123" spans="1:14" ht="15" customHeight="1" x14ac:dyDescent="0.2">
      <c r="A123" s="5">
        <v>1122</v>
      </c>
      <c r="B123" s="6">
        <v>45315</v>
      </c>
      <c r="C123" s="5" t="s">
        <v>38</v>
      </c>
      <c r="D123" s="5" t="s">
        <v>32</v>
      </c>
      <c r="E123" s="5">
        <v>2</v>
      </c>
      <c r="F123" s="10">
        <v>63.2</v>
      </c>
      <c r="G123" s="5" t="s">
        <v>22</v>
      </c>
      <c r="H123" s="5" t="s">
        <v>17</v>
      </c>
      <c r="I123" s="7">
        <v>3</v>
      </c>
      <c r="J123" s="10">
        <f t="shared" si="6"/>
        <v>126.4</v>
      </c>
      <c r="K123" s="10">
        <v>65.73</v>
      </c>
      <c r="L123" s="10">
        <f t="shared" si="7"/>
        <v>60.67</v>
      </c>
      <c r="M123" s="5" t="s">
        <v>24</v>
      </c>
      <c r="N123" s="7" t="s">
        <v>25</v>
      </c>
    </row>
    <row r="124" spans="1:14" ht="15" customHeight="1" x14ac:dyDescent="0.2">
      <c r="A124" s="5">
        <v>1123</v>
      </c>
      <c r="B124" s="6">
        <v>45510</v>
      </c>
      <c r="C124" s="5" t="s">
        <v>26</v>
      </c>
      <c r="D124" s="5" t="s">
        <v>27</v>
      </c>
      <c r="E124" s="5">
        <v>1</v>
      </c>
      <c r="F124" s="10">
        <v>96.45</v>
      </c>
      <c r="G124" s="5" t="s">
        <v>36</v>
      </c>
      <c r="H124" s="5" t="s">
        <v>17</v>
      </c>
      <c r="I124" s="7">
        <v>4</v>
      </c>
      <c r="J124" s="10">
        <f t="shared" si="6"/>
        <v>96.45</v>
      </c>
      <c r="K124" s="10">
        <v>46.3</v>
      </c>
      <c r="L124" s="10">
        <f t="shared" si="7"/>
        <v>50.150000000000006</v>
      </c>
      <c r="M124" s="5" t="s">
        <v>28</v>
      </c>
      <c r="N124" s="7" t="s">
        <v>25</v>
      </c>
    </row>
    <row r="125" spans="1:14" ht="15" customHeight="1" x14ac:dyDescent="0.2">
      <c r="A125" s="2">
        <v>1124</v>
      </c>
      <c r="B125" s="3">
        <v>45312</v>
      </c>
      <c r="C125" s="2" t="s">
        <v>37</v>
      </c>
      <c r="D125" s="2" t="s">
        <v>15</v>
      </c>
      <c r="E125" s="2">
        <v>2</v>
      </c>
      <c r="F125" s="9">
        <v>52.9</v>
      </c>
      <c r="G125" s="2" t="s">
        <v>16</v>
      </c>
      <c r="H125" s="2" t="s">
        <v>23</v>
      </c>
      <c r="I125" s="4">
        <v>4</v>
      </c>
      <c r="J125" s="9">
        <f t="shared" si="6"/>
        <v>105.8</v>
      </c>
      <c r="K125" s="9">
        <v>42.32</v>
      </c>
      <c r="L125" s="9">
        <f t="shared" si="7"/>
        <v>63.48</v>
      </c>
      <c r="M125" s="2" t="s">
        <v>34</v>
      </c>
      <c r="N125" s="4" t="s">
        <v>25</v>
      </c>
    </row>
    <row r="126" spans="1:14" ht="15" customHeight="1" x14ac:dyDescent="0.2">
      <c r="A126" s="5">
        <v>1125</v>
      </c>
      <c r="B126" s="6">
        <v>45626</v>
      </c>
      <c r="C126" s="5" t="s">
        <v>42</v>
      </c>
      <c r="D126" s="5" t="s">
        <v>21</v>
      </c>
      <c r="E126" s="5">
        <v>3</v>
      </c>
      <c r="F126" s="10">
        <v>73</v>
      </c>
      <c r="G126" s="5" t="s">
        <v>30</v>
      </c>
      <c r="H126" s="5" t="s">
        <v>33</v>
      </c>
      <c r="I126" s="7">
        <v>4</v>
      </c>
      <c r="J126" s="10">
        <f t="shared" si="6"/>
        <v>219</v>
      </c>
      <c r="K126" s="10">
        <v>109.5</v>
      </c>
      <c r="L126" s="10">
        <f t="shared" si="7"/>
        <v>109.5</v>
      </c>
      <c r="M126" s="5" t="s">
        <v>28</v>
      </c>
      <c r="N126" s="7" t="s">
        <v>25</v>
      </c>
    </row>
    <row r="127" spans="1:14" ht="15" customHeight="1" x14ac:dyDescent="0.2">
      <c r="A127" s="5">
        <v>1126</v>
      </c>
      <c r="B127" s="6">
        <v>45624</v>
      </c>
      <c r="C127" s="5" t="s">
        <v>14</v>
      </c>
      <c r="D127" s="5" t="s">
        <v>15</v>
      </c>
      <c r="E127" s="5">
        <v>4</v>
      </c>
      <c r="F127" s="10">
        <v>44.2</v>
      </c>
      <c r="G127" s="5" t="s">
        <v>43</v>
      </c>
      <c r="H127" s="5" t="s">
        <v>17</v>
      </c>
      <c r="I127" s="7">
        <v>4</v>
      </c>
      <c r="J127" s="10">
        <f t="shared" si="6"/>
        <v>176.8</v>
      </c>
      <c r="K127" s="10">
        <v>61.88</v>
      </c>
      <c r="L127" s="10">
        <f t="shared" si="7"/>
        <v>114.92000000000002</v>
      </c>
      <c r="M127" s="5" t="s">
        <v>18</v>
      </c>
      <c r="N127" s="7" t="s">
        <v>25</v>
      </c>
    </row>
    <row r="128" spans="1:14" ht="15" customHeight="1" x14ac:dyDescent="0.2">
      <c r="A128" s="2">
        <v>1127</v>
      </c>
      <c r="B128" s="3">
        <v>45579</v>
      </c>
      <c r="C128" s="2" t="s">
        <v>29</v>
      </c>
      <c r="D128" s="2" t="s">
        <v>27</v>
      </c>
      <c r="E128" s="2">
        <v>1</v>
      </c>
      <c r="F128" s="9">
        <v>116.15</v>
      </c>
      <c r="G128" s="2" t="s">
        <v>30</v>
      </c>
      <c r="H128" s="2" t="s">
        <v>33</v>
      </c>
      <c r="I128" s="4">
        <v>3</v>
      </c>
      <c r="J128" s="9">
        <f t="shared" si="6"/>
        <v>116.15</v>
      </c>
      <c r="K128" s="9">
        <v>52.27</v>
      </c>
      <c r="L128" s="9">
        <f t="shared" si="7"/>
        <v>63.88</v>
      </c>
      <c r="M128" s="2" t="s">
        <v>24</v>
      </c>
      <c r="N128" s="4" t="s">
        <v>25</v>
      </c>
    </row>
    <row r="129" spans="1:14" ht="15" customHeight="1" x14ac:dyDescent="0.2">
      <c r="A129" s="5">
        <v>1128</v>
      </c>
      <c r="B129" s="6">
        <v>45370</v>
      </c>
      <c r="C129" s="5" t="s">
        <v>38</v>
      </c>
      <c r="D129" s="5" t="s">
        <v>32</v>
      </c>
      <c r="E129" s="5">
        <v>2</v>
      </c>
      <c r="F129" s="10">
        <v>51.65</v>
      </c>
      <c r="G129" s="5" t="s">
        <v>43</v>
      </c>
      <c r="H129" s="5" t="s">
        <v>33</v>
      </c>
      <c r="I129" s="7">
        <v>5</v>
      </c>
      <c r="J129" s="10">
        <f t="shared" si="6"/>
        <v>103.3</v>
      </c>
      <c r="K129" s="10">
        <v>53.72</v>
      </c>
      <c r="L129" s="10">
        <f t="shared" si="7"/>
        <v>49.58</v>
      </c>
      <c r="M129" s="5" t="s">
        <v>34</v>
      </c>
      <c r="N129" s="7" t="s">
        <v>25</v>
      </c>
    </row>
    <row r="130" spans="1:14" ht="15" customHeight="1" x14ac:dyDescent="0.2">
      <c r="A130" s="2">
        <v>1129</v>
      </c>
      <c r="B130" s="3">
        <v>45597</v>
      </c>
      <c r="C130" s="2" t="s">
        <v>31</v>
      </c>
      <c r="D130" s="2" t="s">
        <v>32</v>
      </c>
      <c r="E130" s="2">
        <v>2</v>
      </c>
      <c r="F130" s="9">
        <v>38.700000000000003</v>
      </c>
      <c r="G130" s="2" t="s">
        <v>30</v>
      </c>
      <c r="H130" s="2" t="s">
        <v>17</v>
      </c>
      <c r="I130" s="4">
        <v>4</v>
      </c>
      <c r="J130" s="9">
        <f t="shared" ref="J130:J161" si="8">E130*F130</f>
        <v>77.400000000000006</v>
      </c>
      <c r="K130" s="9">
        <v>38.700000000000003</v>
      </c>
      <c r="L130" s="9">
        <f t="shared" ref="L130:L161" si="9">J130-K130</f>
        <v>38.700000000000003</v>
      </c>
      <c r="M130" s="2" t="s">
        <v>18</v>
      </c>
      <c r="N130" s="4" t="s">
        <v>25</v>
      </c>
    </row>
    <row r="131" spans="1:14" ht="15" customHeight="1" x14ac:dyDescent="0.2">
      <c r="A131" s="2">
        <v>1130</v>
      </c>
      <c r="B131" s="3">
        <v>45481</v>
      </c>
      <c r="C131" s="2" t="s">
        <v>29</v>
      </c>
      <c r="D131" s="2" t="s">
        <v>27</v>
      </c>
      <c r="E131" s="2">
        <v>1</v>
      </c>
      <c r="F131" s="9">
        <v>73.25</v>
      </c>
      <c r="G131" s="2" t="s">
        <v>30</v>
      </c>
      <c r="H131" s="2" t="s">
        <v>17</v>
      </c>
      <c r="I131" s="4">
        <v>4</v>
      </c>
      <c r="J131" s="9">
        <f t="shared" si="8"/>
        <v>73.25</v>
      </c>
      <c r="K131" s="9">
        <v>32.96</v>
      </c>
      <c r="L131" s="9">
        <f t="shared" si="9"/>
        <v>40.29</v>
      </c>
      <c r="M131" s="2" t="s">
        <v>39</v>
      </c>
      <c r="N131" s="4" t="s">
        <v>25</v>
      </c>
    </row>
    <row r="132" spans="1:14" ht="15" customHeight="1" x14ac:dyDescent="0.2">
      <c r="A132" s="2">
        <v>1131</v>
      </c>
      <c r="B132" s="3">
        <v>45450</v>
      </c>
      <c r="C132" s="2" t="s">
        <v>20</v>
      </c>
      <c r="D132" s="2" t="s">
        <v>21</v>
      </c>
      <c r="E132" s="2">
        <v>2</v>
      </c>
      <c r="F132" s="9">
        <v>16</v>
      </c>
      <c r="G132" s="2" t="s">
        <v>22</v>
      </c>
      <c r="H132" s="2" t="s">
        <v>23</v>
      </c>
      <c r="I132" s="4">
        <v>4</v>
      </c>
      <c r="J132" s="9">
        <f t="shared" si="8"/>
        <v>32</v>
      </c>
      <c r="K132" s="9">
        <v>9.6</v>
      </c>
      <c r="L132" s="9">
        <f t="shared" si="9"/>
        <v>22.4</v>
      </c>
      <c r="M132" s="2" t="s">
        <v>28</v>
      </c>
      <c r="N132" s="4" t="s">
        <v>25</v>
      </c>
    </row>
    <row r="133" spans="1:14" ht="15" customHeight="1" x14ac:dyDescent="0.2">
      <c r="A133" s="2">
        <v>1132</v>
      </c>
      <c r="B133" s="3">
        <v>45333</v>
      </c>
      <c r="C133" s="2" t="s">
        <v>29</v>
      </c>
      <c r="D133" s="2" t="s">
        <v>27</v>
      </c>
      <c r="E133" s="2">
        <v>2</v>
      </c>
      <c r="F133" s="9">
        <v>129.9</v>
      </c>
      <c r="G133" s="2" t="s">
        <v>36</v>
      </c>
      <c r="H133" s="2" t="s">
        <v>17</v>
      </c>
      <c r="I133" s="4">
        <v>5</v>
      </c>
      <c r="J133" s="9">
        <f t="shared" si="8"/>
        <v>259.8</v>
      </c>
      <c r="K133" s="9">
        <v>116.91</v>
      </c>
      <c r="L133" s="9">
        <f t="shared" si="9"/>
        <v>142.89000000000001</v>
      </c>
      <c r="M133" s="2" t="s">
        <v>39</v>
      </c>
      <c r="N133" s="4" t="s">
        <v>25</v>
      </c>
    </row>
    <row r="134" spans="1:14" ht="15" customHeight="1" x14ac:dyDescent="0.2">
      <c r="A134" s="2">
        <v>1133</v>
      </c>
      <c r="B134" s="3">
        <v>45491</v>
      </c>
      <c r="C134" s="2" t="s">
        <v>44</v>
      </c>
      <c r="D134" s="2" t="s">
        <v>27</v>
      </c>
      <c r="E134" s="2">
        <v>1</v>
      </c>
      <c r="F134" s="9">
        <v>94.6</v>
      </c>
      <c r="G134" s="2" t="s">
        <v>22</v>
      </c>
      <c r="H134" s="2" t="s">
        <v>33</v>
      </c>
      <c r="I134" s="4">
        <v>5</v>
      </c>
      <c r="J134" s="9">
        <f t="shared" si="8"/>
        <v>94.6</v>
      </c>
      <c r="K134" s="9">
        <v>47.3</v>
      </c>
      <c r="L134" s="9">
        <f t="shared" si="9"/>
        <v>47.3</v>
      </c>
      <c r="M134" s="2" t="s">
        <v>34</v>
      </c>
      <c r="N134" s="4" t="s">
        <v>25</v>
      </c>
    </row>
    <row r="135" spans="1:14" ht="15" customHeight="1" x14ac:dyDescent="0.2">
      <c r="A135" s="5">
        <v>1134</v>
      </c>
      <c r="B135" s="6">
        <v>45406</v>
      </c>
      <c r="C135" s="5" t="s">
        <v>42</v>
      </c>
      <c r="D135" s="5" t="s">
        <v>21</v>
      </c>
      <c r="E135" s="5">
        <v>1</v>
      </c>
      <c r="F135" s="10">
        <v>55.2</v>
      </c>
      <c r="G135" s="5" t="s">
        <v>43</v>
      </c>
      <c r="H135" s="5" t="s">
        <v>17</v>
      </c>
      <c r="I135" s="7">
        <v>4</v>
      </c>
      <c r="J135" s="10">
        <f t="shared" si="8"/>
        <v>55.2</v>
      </c>
      <c r="K135" s="10">
        <v>27.6</v>
      </c>
      <c r="L135" s="10">
        <f t="shared" si="9"/>
        <v>27.6</v>
      </c>
      <c r="M135" s="5" t="s">
        <v>28</v>
      </c>
      <c r="N135" s="7" t="s">
        <v>25</v>
      </c>
    </row>
    <row r="136" spans="1:14" ht="15" customHeight="1" x14ac:dyDescent="0.2">
      <c r="A136" s="5">
        <v>1135</v>
      </c>
      <c r="B136" s="6">
        <v>45456</v>
      </c>
      <c r="C136" s="5" t="s">
        <v>37</v>
      </c>
      <c r="D136" s="5" t="s">
        <v>15</v>
      </c>
      <c r="E136" s="5">
        <v>1</v>
      </c>
      <c r="F136" s="10">
        <v>41.85</v>
      </c>
      <c r="G136" s="5" t="s">
        <v>36</v>
      </c>
      <c r="H136" s="5" t="s">
        <v>17</v>
      </c>
      <c r="I136" s="7">
        <v>4</v>
      </c>
      <c r="J136" s="10">
        <f t="shared" si="8"/>
        <v>41.85</v>
      </c>
      <c r="K136" s="10">
        <v>16.739999999999998</v>
      </c>
      <c r="L136" s="10">
        <f t="shared" si="9"/>
        <v>25.110000000000003</v>
      </c>
      <c r="M136" s="5" t="s">
        <v>39</v>
      </c>
      <c r="N136" s="7" t="s">
        <v>25</v>
      </c>
    </row>
    <row r="137" spans="1:14" ht="15" customHeight="1" x14ac:dyDescent="0.2">
      <c r="A137" s="5">
        <v>1136</v>
      </c>
      <c r="B137" s="6">
        <v>45345</v>
      </c>
      <c r="C137" s="5" t="s">
        <v>44</v>
      </c>
      <c r="D137" s="5" t="s">
        <v>27</v>
      </c>
      <c r="E137" s="5">
        <v>1</v>
      </c>
      <c r="F137" s="10">
        <v>138.1</v>
      </c>
      <c r="G137" s="5" t="s">
        <v>30</v>
      </c>
      <c r="H137" s="5" t="s">
        <v>17</v>
      </c>
      <c r="I137" s="7">
        <v>5</v>
      </c>
      <c r="J137" s="10">
        <f t="shared" si="8"/>
        <v>138.1</v>
      </c>
      <c r="K137" s="10">
        <v>69.05</v>
      </c>
      <c r="L137" s="10">
        <f t="shared" si="9"/>
        <v>69.05</v>
      </c>
      <c r="M137" s="5" t="s">
        <v>39</v>
      </c>
      <c r="N137" s="7" t="s">
        <v>25</v>
      </c>
    </row>
    <row r="138" spans="1:14" ht="15" customHeight="1" x14ac:dyDescent="0.2">
      <c r="A138" s="5">
        <v>1137</v>
      </c>
      <c r="B138" s="6">
        <v>45506</v>
      </c>
      <c r="C138" s="5" t="s">
        <v>44</v>
      </c>
      <c r="D138" s="5" t="s">
        <v>27</v>
      </c>
      <c r="E138" s="5">
        <v>1</v>
      </c>
      <c r="F138" s="10">
        <v>128.94999999999999</v>
      </c>
      <c r="G138" s="5" t="s">
        <v>16</v>
      </c>
      <c r="H138" s="5" t="s">
        <v>17</v>
      </c>
      <c r="I138" s="7">
        <v>4</v>
      </c>
      <c r="J138" s="10">
        <f t="shared" si="8"/>
        <v>128.94999999999999</v>
      </c>
      <c r="K138" s="10">
        <v>64.47</v>
      </c>
      <c r="L138" s="10">
        <f t="shared" si="9"/>
        <v>64.47999999999999</v>
      </c>
      <c r="M138" s="5" t="s">
        <v>24</v>
      </c>
      <c r="N138" s="7" t="s">
        <v>25</v>
      </c>
    </row>
    <row r="139" spans="1:14" ht="15" customHeight="1" x14ac:dyDescent="0.2">
      <c r="A139" s="2">
        <v>1138</v>
      </c>
      <c r="B139" s="3">
        <v>45476</v>
      </c>
      <c r="C139" s="2" t="s">
        <v>31</v>
      </c>
      <c r="D139" s="2" t="s">
        <v>32</v>
      </c>
      <c r="E139" s="2">
        <v>3</v>
      </c>
      <c r="F139" s="9">
        <v>51.15</v>
      </c>
      <c r="G139" s="2" t="s">
        <v>30</v>
      </c>
      <c r="H139" s="2" t="s">
        <v>17</v>
      </c>
      <c r="I139" s="4">
        <v>2</v>
      </c>
      <c r="J139" s="9">
        <f t="shared" si="8"/>
        <v>153.44999999999999</v>
      </c>
      <c r="K139" s="9">
        <v>76.72</v>
      </c>
      <c r="L139" s="9">
        <f t="shared" si="9"/>
        <v>76.72999999999999</v>
      </c>
      <c r="M139" s="2" t="s">
        <v>34</v>
      </c>
      <c r="N139" s="4" t="s">
        <v>19</v>
      </c>
    </row>
    <row r="140" spans="1:14" ht="15" customHeight="1" x14ac:dyDescent="0.2">
      <c r="A140" s="2">
        <v>1139</v>
      </c>
      <c r="B140" s="3">
        <v>45354</v>
      </c>
      <c r="C140" s="2" t="s">
        <v>44</v>
      </c>
      <c r="D140" s="2" t="s">
        <v>27</v>
      </c>
      <c r="E140" s="2">
        <v>1</v>
      </c>
      <c r="F140" s="9">
        <v>135.94999999999999</v>
      </c>
      <c r="G140" s="2" t="s">
        <v>30</v>
      </c>
      <c r="H140" s="2" t="s">
        <v>23</v>
      </c>
      <c r="I140" s="4">
        <v>5</v>
      </c>
      <c r="J140" s="9">
        <f t="shared" si="8"/>
        <v>135.94999999999999</v>
      </c>
      <c r="K140" s="9">
        <v>67.97</v>
      </c>
      <c r="L140" s="9">
        <f t="shared" si="9"/>
        <v>67.97999999999999</v>
      </c>
      <c r="M140" s="2" t="s">
        <v>34</v>
      </c>
      <c r="N140" s="4" t="s">
        <v>25</v>
      </c>
    </row>
    <row r="141" spans="1:14" ht="15" customHeight="1" x14ac:dyDescent="0.2">
      <c r="A141" s="2">
        <v>1140</v>
      </c>
      <c r="B141" s="3">
        <v>45309</v>
      </c>
      <c r="C141" s="2" t="s">
        <v>31</v>
      </c>
      <c r="D141" s="2" t="s">
        <v>32</v>
      </c>
      <c r="E141" s="2">
        <v>1</v>
      </c>
      <c r="F141" s="9">
        <v>51.45</v>
      </c>
      <c r="G141" s="2" t="s">
        <v>22</v>
      </c>
      <c r="H141" s="2" t="s">
        <v>33</v>
      </c>
      <c r="I141" s="4">
        <v>4</v>
      </c>
      <c r="J141" s="9">
        <f t="shared" si="8"/>
        <v>51.45</v>
      </c>
      <c r="K141" s="9">
        <v>25.73</v>
      </c>
      <c r="L141" s="9">
        <f t="shared" si="9"/>
        <v>25.720000000000002</v>
      </c>
      <c r="M141" s="2" t="s">
        <v>28</v>
      </c>
      <c r="N141" s="4" t="s">
        <v>25</v>
      </c>
    </row>
    <row r="142" spans="1:14" ht="15" customHeight="1" x14ac:dyDescent="0.2">
      <c r="A142" s="5">
        <v>1141</v>
      </c>
      <c r="B142" s="6">
        <v>45475</v>
      </c>
      <c r="C142" s="5" t="s">
        <v>46</v>
      </c>
      <c r="D142" s="5" t="s">
        <v>32</v>
      </c>
      <c r="E142" s="5">
        <v>1</v>
      </c>
      <c r="F142" s="10">
        <v>181.5</v>
      </c>
      <c r="G142" s="5" t="s">
        <v>22</v>
      </c>
      <c r="H142" s="5" t="s">
        <v>17</v>
      </c>
      <c r="I142" s="7">
        <v>1</v>
      </c>
      <c r="J142" s="10">
        <f t="shared" si="8"/>
        <v>181.5</v>
      </c>
      <c r="K142" s="10">
        <v>99.83</v>
      </c>
      <c r="L142" s="10">
        <f t="shared" si="9"/>
        <v>81.67</v>
      </c>
      <c r="M142" s="5" t="s">
        <v>34</v>
      </c>
      <c r="N142" s="7" t="s">
        <v>19</v>
      </c>
    </row>
    <row r="143" spans="1:14" ht="15" customHeight="1" x14ac:dyDescent="0.2">
      <c r="A143" s="2">
        <v>1142</v>
      </c>
      <c r="B143" s="3">
        <v>45567</v>
      </c>
      <c r="C143" s="2" t="s">
        <v>47</v>
      </c>
      <c r="D143" s="2" t="s">
        <v>21</v>
      </c>
      <c r="E143" s="2">
        <v>1</v>
      </c>
      <c r="F143" s="9">
        <v>28.15</v>
      </c>
      <c r="G143" s="2" t="s">
        <v>22</v>
      </c>
      <c r="H143" s="2" t="s">
        <v>23</v>
      </c>
      <c r="I143" s="4">
        <v>3</v>
      </c>
      <c r="J143" s="9">
        <f t="shared" si="8"/>
        <v>28.15</v>
      </c>
      <c r="K143" s="9">
        <v>11.26</v>
      </c>
      <c r="L143" s="9">
        <f t="shared" si="9"/>
        <v>16.89</v>
      </c>
      <c r="M143" s="2" t="s">
        <v>24</v>
      </c>
      <c r="N143" s="4" t="s">
        <v>25</v>
      </c>
    </row>
    <row r="144" spans="1:14" ht="15" customHeight="1" x14ac:dyDescent="0.2">
      <c r="A144" s="2">
        <v>1143</v>
      </c>
      <c r="B144" s="3">
        <v>45339</v>
      </c>
      <c r="C144" s="2" t="s">
        <v>41</v>
      </c>
      <c r="D144" s="2" t="s">
        <v>15</v>
      </c>
      <c r="E144" s="2">
        <v>1</v>
      </c>
      <c r="F144" s="9">
        <v>65.25</v>
      </c>
      <c r="G144" s="2" t="s">
        <v>36</v>
      </c>
      <c r="H144" s="2" t="s">
        <v>23</v>
      </c>
      <c r="I144" s="4">
        <v>5</v>
      </c>
      <c r="J144" s="9">
        <f t="shared" si="8"/>
        <v>65.25</v>
      </c>
      <c r="K144" s="9">
        <v>27.4</v>
      </c>
      <c r="L144" s="9">
        <f t="shared" si="9"/>
        <v>37.85</v>
      </c>
      <c r="M144" s="2" t="s">
        <v>28</v>
      </c>
      <c r="N144" s="4" t="s">
        <v>25</v>
      </c>
    </row>
    <row r="145" spans="1:14" ht="15" customHeight="1" x14ac:dyDescent="0.2">
      <c r="A145" s="2">
        <v>1144</v>
      </c>
      <c r="B145" s="3">
        <v>45606</v>
      </c>
      <c r="C145" s="2" t="s">
        <v>31</v>
      </c>
      <c r="D145" s="2" t="s">
        <v>32</v>
      </c>
      <c r="E145" s="2">
        <v>2</v>
      </c>
      <c r="F145" s="9">
        <v>60.9</v>
      </c>
      <c r="G145" s="2" t="s">
        <v>36</v>
      </c>
      <c r="H145" s="2" t="s">
        <v>33</v>
      </c>
      <c r="I145" s="4">
        <v>4</v>
      </c>
      <c r="J145" s="9">
        <f t="shared" si="8"/>
        <v>121.8</v>
      </c>
      <c r="K145" s="9">
        <v>60.9</v>
      </c>
      <c r="L145" s="9">
        <f t="shared" si="9"/>
        <v>60.9</v>
      </c>
      <c r="M145" s="2" t="s">
        <v>39</v>
      </c>
      <c r="N145" s="4" t="s">
        <v>25</v>
      </c>
    </row>
    <row r="146" spans="1:14" ht="15" customHeight="1" x14ac:dyDescent="0.2">
      <c r="A146" s="2">
        <v>1145</v>
      </c>
      <c r="B146" s="3">
        <v>45545</v>
      </c>
      <c r="C146" s="2" t="s">
        <v>31</v>
      </c>
      <c r="D146" s="2" t="s">
        <v>32</v>
      </c>
      <c r="E146" s="2">
        <v>1</v>
      </c>
      <c r="F146" s="9">
        <v>55.6</v>
      </c>
      <c r="G146" s="2" t="s">
        <v>30</v>
      </c>
      <c r="H146" s="2" t="s">
        <v>33</v>
      </c>
      <c r="I146" s="4">
        <v>4</v>
      </c>
      <c r="J146" s="9">
        <f t="shared" si="8"/>
        <v>55.6</v>
      </c>
      <c r="K146" s="9">
        <v>27.8</v>
      </c>
      <c r="L146" s="9">
        <f t="shared" si="9"/>
        <v>27.8</v>
      </c>
      <c r="M146" s="2" t="s">
        <v>28</v>
      </c>
      <c r="N146" s="4" t="s">
        <v>25</v>
      </c>
    </row>
    <row r="147" spans="1:14" ht="15" customHeight="1" x14ac:dyDescent="0.2">
      <c r="A147" s="5">
        <v>1146</v>
      </c>
      <c r="B147" s="6">
        <v>45366</v>
      </c>
      <c r="C147" s="5" t="s">
        <v>14</v>
      </c>
      <c r="D147" s="5" t="s">
        <v>15</v>
      </c>
      <c r="E147" s="5">
        <v>1</v>
      </c>
      <c r="F147" s="10">
        <v>29.9</v>
      </c>
      <c r="G147" s="5" t="s">
        <v>30</v>
      </c>
      <c r="H147" s="5" t="s">
        <v>17</v>
      </c>
      <c r="I147" s="7">
        <v>5</v>
      </c>
      <c r="J147" s="10">
        <f t="shared" si="8"/>
        <v>29.9</v>
      </c>
      <c r="K147" s="10">
        <v>10.46</v>
      </c>
      <c r="L147" s="10">
        <f t="shared" si="9"/>
        <v>19.439999999999998</v>
      </c>
      <c r="M147" s="5" t="s">
        <v>18</v>
      </c>
      <c r="N147" s="7" t="s">
        <v>25</v>
      </c>
    </row>
    <row r="148" spans="1:14" ht="15" customHeight="1" x14ac:dyDescent="0.2">
      <c r="A148" s="2">
        <v>1147</v>
      </c>
      <c r="B148" s="3">
        <v>45552</v>
      </c>
      <c r="C148" s="2" t="s">
        <v>26</v>
      </c>
      <c r="D148" s="2" t="s">
        <v>27</v>
      </c>
      <c r="E148" s="2">
        <v>2</v>
      </c>
      <c r="F148" s="9">
        <v>80.55</v>
      </c>
      <c r="G148" s="2" t="s">
        <v>30</v>
      </c>
      <c r="H148" s="2" t="s">
        <v>17</v>
      </c>
      <c r="I148" s="4">
        <v>4</v>
      </c>
      <c r="J148" s="9">
        <f t="shared" si="8"/>
        <v>161.1</v>
      </c>
      <c r="K148" s="9">
        <v>77.33</v>
      </c>
      <c r="L148" s="9">
        <f t="shared" si="9"/>
        <v>83.77</v>
      </c>
      <c r="M148" s="2" t="s">
        <v>18</v>
      </c>
      <c r="N148" s="4" t="s">
        <v>25</v>
      </c>
    </row>
    <row r="149" spans="1:14" ht="15" customHeight="1" x14ac:dyDescent="0.2">
      <c r="A149" s="2">
        <v>1148</v>
      </c>
      <c r="B149" s="3">
        <v>45456</v>
      </c>
      <c r="C149" s="2" t="s">
        <v>41</v>
      </c>
      <c r="D149" s="2" t="s">
        <v>15</v>
      </c>
      <c r="E149" s="2">
        <v>3</v>
      </c>
      <c r="F149" s="9">
        <v>59.7</v>
      </c>
      <c r="G149" s="2" t="s">
        <v>30</v>
      </c>
      <c r="H149" s="2" t="s">
        <v>17</v>
      </c>
      <c r="I149" s="4">
        <v>4</v>
      </c>
      <c r="J149" s="9">
        <f t="shared" si="8"/>
        <v>179.10000000000002</v>
      </c>
      <c r="K149" s="9">
        <v>75.22</v>
      </c>
      <c r="L149" s="9">
        <f t="shared" si="9"/>
        <v>103.88000000000002</v>
      </c>
      <c r="M149" s="2" t="s">
        <v>24</v>
      </c>
      <c r="N149" s="4" t="s">
        <v>25</v>
      </c>
    </row>
    <row r="150" spans="1:14" ht="15" customHeight="1" x14ac:dyDescent="0.2">
      <c r="A150" s="5">
        <v>1149</v>
      </c>
      <c r="B150" s="6">
        <v>45612</v>
      </c>
      <c r="C150" s="5" t="s">
        <v>46</v>
      </c>
      <c r="D150" s="5" t="s">
        <v>32</v>
      </c>
      <c r="E150" s="5">
        <v>1</v>
      </c>
      <c r="F150" s="10">
        <v>267.25</v>
      </c>
      <c r="G150" s="5" t="s">
        <v>36</v>
      </c>
      <c r="H150" s="5" t="s">
        <v>23</v>
      </c>
      <c r="I150" s="7">
        <v>4</v>
      </c>
      <c r="J150" s="10">
        <f t="shared" si="8"/>
        <v>267.25</v>
      </c>
      <c r="K150" s="10">
        <v>146.99</v>
      </c>
      <c r="L150" s="10">
        <f t="shared" si="9"/>
        <v>120.25999999999999</v>
      </c>
      <c r="M150" s="5" t="s">
        <v>18</v>
      </c>
      <c r="N150" s="7" t="s">
        <v>25</v>
      </c>
    </row>
    <row r="151" spans="1:14" ht="15" customHeight="1" x14ac:dyDescent="0.2">
      <c r="A151" s="2">
        <v>1150</v>
      </c>
      <c r="B151" s="3">
        <v>45336</v>
      </c>
      <c r="C151" s="2" t="s">
        <v>41</v>
      </c>
      <c r="D151" s="2" t="s">
        <v>15</v>
      </c>
      <c r="E151" s="2">
        <v>2</v>
      </c>
      <c r="F151" s="9">
        <v>60.75</v>
      </c>
      <c r="G151" s="2" t="s">
        <v>30</v>
      </c>
      <c r="H151" s="2" t="s">
        <v>33</v>
      </c>
      <c r="I151" s="4">
        <v>4</v>
      </c>
      <c r="J151" s="9">
        <f t="shared" si="8"/>
        <v>121.5</v>
      </c>
      <c r="K151" s="9">
        <v>51.03</v>
      </c>
      <c r="L151" s="9">
        <f t="shared" si="9"/>
        <v>70.47</v>
      </c>
      <c r="M151" s="2" t="s">
        <v>28</v>
      </c>
      <c r="N151" s="4" t="s">
        <v>25</v>
      </c>
    </row>
    <row r="152" spans="1:14" ht="15" customHeight="1" x14ac:dyDescent="0.2">
      <c r="A152" s="5">
        <v>1151</v>
      </c>
      <c r="B152" s="6">
        <v>45557</v>
      </c>
      <c r="C152" s="5" t="s">
        <v>41</v>
      </c>
      <c r="D152" s="5" t="s">
        <v>15</v>
      </c>
      <c r="E152" s="5">
        <v>2</v>
      </c>
      <c r="F152" s="10">
        <v>69.400000000000006</v>
      </c>
      <c r="G152" s="5" t="s">
        <v>30</v>
      </c>
      <c r="H152" s="5" t="s">
        <v>33</v>
      </c>
      <c r="I152" s="7">
        <v>3</v>
      </c>
      <c r="J152" s="10">
        <f t="shared" si="8"/>
        <v>138.80000000000001</v>
      </c>
      <c r="K152" s="10">
        <v>58.3</v>
      </c>
      <c r="L152" s="10">
        <f t="shared" si="9"/>
        <v>80.500000000000014</v>
      </c>
      <c r="M152" s="5" t="s">
        <v>28</v>
      </c>
      <c r="N152" s="7" t="s">
        <v>25</v>
      </c>
    </row>
    <row r="153" spans="1:14" ht="15" customHeight="1" x14ac:dyDescent="0.2">
      <c r="A153" s="5">
        <v>1152</v>
      </c>
      <c r="B153" s="6">
        <v>45427</v>
      </c>
      <c r="C153" s="5" t="s">
        <v>41</v>
      </c>
      <c r="D153" s="5" t="s">
        <v>15</v>
      </c>
      <c r="E153" s="5">
        <v>2</v>
      </c>
      <c r="F153" s="10">
        <v>102.3</v>
      </c>
      <c r="G153" s="5" t="s">
        <v>43</v>
      </c>
      <c r="H153" s="5" t="s">
        <v>17</v>
      </c>
      <c r="I153" s="7">
        <v>3</v>
      </c>
      <c r="J153" s="10">
        <f t="shared" si="8"/>
        <v>204.6</v>
      </c>
      <c r="K153" s="10">
        <v>85.93</v>
      </c>
      <c r="L153" s="10">
        <f t="shared" si="9"/>
        <v>118.66999999999999</v>
      </c>
      <c r="M153" s="5" t="s">
        <v>18</v>
      </c>
      <c r="N153" s="7" t="s">
        <v>25</v>
      </c>
    </row>
    <row r="154" spans="1:14" ht="15" customHeight="1" x14ac:dyDescent="0.2">
      <c r="A154" s="5">
        <v>1153</v>
      </c>
      <c r="B154" s="6">
        <v>45584</v>
      </c>
      <c r="C154" s="5" t="s">
        <v>31</v>
      </c>
      <c r="D154" s="5" t="s">
        <v>32</v>
      </c>
      <c r="E154" s="5">
        <v>1</v>
      </c>
      <c r="F154" s="10">
        <v>67.95</v>
      </c>
      <c r="G154" s="5" t="s">
        <v>45</v>
      </c>
      <c r="H154" s="5" t="s">
        <v>33</v>
      </c>
      <c r="I154" s="7">
        <v>5</v>
      </c>
      <c r="J154" s="10">
        <f t="shared" si="8"/>
        <v>67.95</v>
      </c>
      <c r="K154" s="10">
        <v>33.979999999999997</v>
      </c>
      <c r="L154" s="10">
        <f t="shared" si="9"/>
        <v>33.970000000000006</v>
      </c>
      <c r="M154" s="5" t="s">
        <v>39</v>
      </c>
      <c r="N154" s="7" t="s">
        <v>25</v>
      </c>
    </row>
    <row r="155" spans="1:14" ht="15" customHeight="1" x14ac:dyDescent="0.2">
      <c r="A155" s="5">
        <v>1154</v>
      </c>
      <c r="B155" s="6">
        <v>45373</v>
      </c>
      <c r="C155" s="5" t="s">
        <v>47</v>
      </c>
      <c r="D155" s="5" t="s">
        <v>21</v>
      </c>
      <c r="E155" s="5">
        <v>5</v>
      </c>
      <c r="F155" s="10">
        <v>27.85</v>
      </c>
      <c r="G155" s="5" t="s">
        <v>36</v>
      </c>
      <c r="H155" s="5" t="s">
        <v>23</v>
      </c>
      <c r="I155" s="7">
        <v>4</v>
      </c>
      <c r="J155" s="10">
        <f t="shared" si="8"/>
        <v>139.25</v>
      </c>
      <c r="K155" s="10">
        <v>55.7</v>
      </c>
      <c r="L155" s="10">
        <f t="shared" si="9"/>
        <v>83.55</v>
      </c>
      <c r="M155" s="5" t="s">
        <v>34</v>
      </c>
      <c r="N155" s="7" t="s">
        <v>25</v>
      </c>
    </row>
    <row r="156" spans="1:14" ht="15" customHeight="1" x14ac:dyDescent="0.2">
      <c r="A156" s="5">
        <v>1155</v>
      </c>
      <c r="B156" s="6">
        <v>45532</v>
      </c>
      <c r="C156" s="5" t="s">
        <v>35</v>
      </c>
      <c r="D156" s="5" t="s">
        <v>21</v>
      </c>
      <c r="E156" s="5">
        <v>1</v>
      </c>
      <c r="F156" s="10">
        <v>35.6</v>
      </c>
      <c r="G156" s="5" t="s">
        <v>30</v>
      </c>
      <c r="H156" s="5" t="s">
        <v>33</v>
      </c>
      <c r="I156" s="7">
        <v>4</v>
      </c>
      <c r="J156" s="10">
        <f t="shared" si="8"/>
        <v>35.6</v>
      </c>
      <c r="K156" s="10">
        <v>16.02</v>
      </c>
      <c r="L156" s="10">
        <f t="shared" si="9"/>
        <v>19.580000000000002</v>
      </c>
      <c r="M156" s="5" t="s">
        <v>34</v>
      </c>
      <c r="N156" s="7" t="s">
        <v>25</v>
      </c>
    </row>
    <row r="157" spans="1:14" ht="15" customHeight="1" x14ac:dyDescent="0.2">
      <c r="A157" s="2">
        <v>1156</v>
      </c>
      <c r="B157" s="3">
        <v>45555</v>
      </c>
      <c r="C157" s="2" t="s">
        <v>38</v>
      </c>
      <c r="D157" s="2" t="s">
        <v>32</v>
      </c>
      <c r="E157" s="2">
        <v>2</v>
      </c>
      <c r="F157" s="9">
        <v>54.35</v>
      </c>
      <c r="G157" s="2" t="s">
        <v>45</v>
      </c>
      <c r="H157" s="2" t="s">
        <v>17</v>
      </c>
      <c r="I157" s="4">
        <v>4</v>
      </c>
      <c r="J157" s="9">
        <f t="shared" si="8"/>
        <v>108.7</v>
      </c>
      <c r="K157" s="9">
        <v>56.52</v>
      </c>
      <c r="L157" s="9">
        <f t="shared" si="9"/>
        <v>52.18</v>
      </c>
      <c r="M157" s="2" t="s">
        <v>28</v>
      </c>
      <c r="N157" s="4" t="s">
        <v>25</v>
      </c>
    </row>
    <row r="158" spans="1:14" ht="15" customHeight="1" x14ac:dyDescent="0.2">
      <c r="A158" s="5">
        <v>1157</v>
      </c>
      <c r="B158" s="6">
        <v>45460</v>
      </c>
      <c r="C158" s="5" t="s">
        <v>31</v>
      </c>
      <c r="D158" s="5" t="s">
        <v>32</v>
      </c>
      <c r="E158" s="5">
        <v>1</v>
      </c>
      <c r="F158" s="10">
        <v>66.95</v>
      </c>
      <c r="G158" s="5" t="s">
        <v>45</v>
      </c>
      <c r="H158" s="5" t="s">
        <v>33</v>
      </c>
      <c r="I158" s="7">
        <v>4</v>
      </c>
      <c r="J158" s="10">
        <f t="shared" si="8"/>
        <v>66.95</v>
      </c>
      <c r="K158" s="10">
        <v>33.479999999999997</v>
      </c>
      <c r="L158" s="10">
        <f t="shared" si="9"/>
        <v>33.470000000000006</v>
      </c>
      <c r="M158" s="5" t="s">
        <v>18</v>
      </c>
      <c r="N158" s="7" t="s">
        <v>19</v>
      </c>
    </row>
    <row r="159" spans="1:14" ht="15" customHeight="1" x14ac:dyDescent="0.2">
      <c r="A159" s="5">
        <v>1158</v>
      </c>
      <c r="B159" s="6">
        <v>45554</v>
      </c>
      <c r="C159" s="5" t="s">
        <v>29</v>
      </c>
      <c r="D159" s="5" t="s">
        <v>27</v>
      </c>
      <c r="E159" s="5">
        <v>2</v>
      </c>
      <c r="F159" s="10">
        <v>94.3</v>
      </c>
      <c r="G159" s="5" t="s">
        <v>43</v>
      </c>
      <c r="H159" s="5" t="s">
        <v>23</v>
      </c>
      <c r="I159" s="7">
        <v>4</v>
      </c>
      <c r="J159" s="10">
        <f t="shared" si="8"/>
        <v>188.6</v>
      </c>
      <c r="K159" s="10">
        <v>84.87</v>
      </c>
      <c r="L159" s="10">
        <f t="shared" si="9"/>
        <v>103.72999999999999</v>
      </c>
      <c r="M159" s="5" t="s">
        <v>24</v>
      </c>
      <c r="N159" s="7" t="s">
        <v>25</v>
      </c>
    </row>
    <row r="160" spans="1:14" ht="15" customHeight="1" x14ac:dyDescent="0.2">
      <c r="A160" s="2">
        <v>1159</v>
      </c>
      <c r="B160" s="3">
        <v>45440</v>
      </c>
      <c r="C160" s="2" t="s">
        <v>46</v>
      </c>
      <c r="D160" s="2" t="s">
        <v>32</v>
      </c>
      <c r="E160" s="2">
        <v>1</v>
      </c>
      <c r="F160" s="9">
        <v>220.7</v>
      </c>
      <c r="G160" s="2" t="s">
        <v>16</v>
      </c>
      <c r="H160" s="2" t="s">
        <v>17</v>
      </c>
      <c r="I160" s="4">
        <v>4</v>
      </c>
      <c r="J160" s="9">
        <f t="shared" si="8"/>
        <v>220.7</v>
      </c>
      <c r="K160" s="9">
        <v>121.39</v>
      </c>
      <c r="L160" s="9">
        <f t="shared" si="9"/>
        <v>99.309999999999988</v>
      </c>
      <c r="M160" s="2" t="s">
        <v>34</v>
      </c>
      <c r="N160" s="4" t="s">
        <v>25</v>
      </c>
    </row>
    <row r="161" spans="1:14" ht="15" customHeight="1" x14ac:dyDescent="0.2">
      <c r="A161" s="5">
        <v>1160</v>
      </c>
      <c r="B161" s="6">
        <v>45581</v>
      </c>
      <c r="C161" s="5" t="s">
        <v>35</v>
      </c>
      <c r="D161" s="5" t="s">
        <v>21</v>
      </c>
      <c r="E161" s="5">
        <v>2</v>
      </c>
      <c r="F161" s="10">
        <v>45.95</v>
      </c>
      <c r="G161" s="5" t="s">
        <v>22</v>
      </c>
      <c r="H161" s="5" t="s">
        <v>17</v>
      </c>
      <c r="I161" s="7">
        <v>4</v>
      </c>
      <c r="J161" s="10">
        <f t="shared" si="8"/>
        <v>91.9</v>
      </c>
      <c r="K161" s="10">
        <v>41.36</v>
      </c>
      <c r="L161" s="10">
        <f t="shared" si="9"/>
        <v>50.540000000000006</v>
      </c>
      <c r="M161" s="5" t="s">
        <v>24</v>
      </c>
      <c r="N161" s="7" t="s">
        <v>25</v>
      </c>
    </row>
    <row r="162" spans="1:14" ht="15" customHeight="1" x14ac:dyDescent="0.2">
      <c r="A162" s="5">
        <v>1161</v>
      </c>
      <c r="B162" s="6">
        <v>45594</v>
      </c>
      <c r="C162" s="5" t="s">
        <v>46</v>
      </c>
      <c r="D162" s="5" t="s">
        <v>32</v>
      </c>
      <c r="E162" s="5">
        <v>4</v>
      </c>
      <c r="F162" s="10">
        <v>315.85000000000002</v>
      </c>
      <c r="G162" s="5" t="s">
        <v>16</v>
      </c>
      <c r="H162" s="5" t="s">
        <v>17</v>
      </c>
      <c r="I162" s="7">
        <v>4</v>
      </c>
      <c r="J162" s="10">
        <f t="shared" ref="J162:J193" si="10">E162*F162</f>
        <v>1263.4000000000001</v>
      </c>
      <c r="K162" s="10">
        <v>694.87</v>
      </c>
      <c r="L162" s="10">
        <f t="shared" ref="L162:L193" si="11">J162-K162</f>
        <v>568.53000000000009</v>
      </c>
      <c r="M162" s="5" t="s">
        <v>24</v>
      </c>
      <c r="N162" s="7" t="s">
        <v>25</v>
      </c>
    </row>
    <row r="163" spans="1:14" ht="15" customHeight="1" x14ac:dyDescent="0.2">
      <c r="A163" s="2">
        <v>1162</v>
      </c>
      <c r="B163" s="3">
        <v>45454</v>
      </c>
      <c r="C163" s="2" t="s">
        <v>40</v>
      </c>
      <c r="D163" s="2" t="s">
        <v>15</v>
      </c>
      <c r="E163" s="2">
        <v>2</v>
      </c>
      <c r="F163" s="9">
        <v>49.2</v>
      </c>
      <c r="G163" s="2" t="s">
        <v>36</v>
      </c>
      <c r="H163" s="2" t="s">
        <v>33</v>
      </c>
      <c r="I163" s="4">
        <v>4</v>
      </c>
      <c r="J163" s="9">
        <f t="shared" si="10"/>
        <v>98.4</v>
      </c>
      <c r="K163" s="9">
        <v>37.39</v>
      </c>
      <c r="L163" s="9">
        <f t="shared" si="11"/>
        <v>61.010000000000005</v>
      </c>
      <c r="M163" s="2" t="s">
        <v>24</v>
      </c>
      <c r="N163" s="4" t="s">
        <v>25</v>
      </c>
    </row>
    <row r="164" spans="1:14" ht="15" customHeight="1" x14ac:dyDescent="0.2">
      <c r="A164" s="2">
        <v>1163</v>
      </c>
      <c r="B164" s="3">
        <v>45343</v>
      </c>
      <c r="C164" s="2" t="s">
        <v>41</v>
      </c>
      <c r="D164" s="2" t="s">
        <v>15</v>
      </c>
      <c r="E164" s="2">
        <v>2</v>
      </c>
      <c r="F164" s="9">
        <v>107.85</v>
      </c>
      <c r="G164" s="2" t="s">
        <v>43</v>
      </c>
      <c r="H164" s="2" t="s">
        <v>33</v>
      </c>
      <c r="I164" s="4">
        <v>4</v>
      </c>
      <c r="J164" s="9">
        <f t="shared" si="10"/>
        <v>215.7</v>
      </c>
      <c r="K164" s="9">
        <v>90.59</v>
      </c>
      <c r="L164" s="9">
        <f t="shared" si="11"/>
        <v>125.10999999999999</v>
      </c>
      <c r="M164" s="2" t="s">
        <v>28</v>
      </c>
      <c r="N164" s="4" t="s">
        <v>25</v>
      </c>
    </row>
    <row r="165" spans="1:14" ht="15" customHeight="1" x14ac:dyDescent="0.2">
      <c r="A165" s="5">
        <v>1164</v>
      </c>
      <c r="B165" s="6">
        <v>45394</v>
      </c>
      <c r="C165" s="5" t="s">
        <v>41</v>
      </c>
      <c r="D165" s="5" t="s">
        <v>15</v>
      </c>
      <c r="E165" s="5">
        <v>1</v>
      </c>
      <c r="F165" s="10">
        <v>56.2</v>
      </c>
      <c r="G165" s="5" t="s">
        <v>45</v>
      </c>
      <c r="H165" s="5" t="s">
        <v>17</v>
      </c>
      <c r="I165" s="7">
        <v>3</v>
      </c>
      <c r="J165" s="10">
        <f t="shared" si="10"/>
        <v>56.2</v>
      </c>
      <c r="K165" s="10">
        <v>23.6</v>
      </c>
      <c r="L165" s="10">
        <f t="shared" si="11"/>
        <v>32.6</v>
      </c>
      <c r="M165" s="5" t="s">
        <v>39</v>
      </c>
      <c r="N165" s="7" t="s">
        <v>19</v>
      </c>
    </row>
    <row r="166" spans="1:14" ht="15" customHeight="1" x14ac:dyDescent="0.2">
      <c r="A166" s="2">
        <v>1165</v>
      </c>
      <c r="B166" s="3">
        <v>45315</v>
      </c>
      <c r="C166" s="2" t="s">
        <v>26</v>
      </c>
      <c r="D166" s="2" t="s">
        <v>27</v>
      </c>
      <c r="E166" s="2">
        <v>2</v>
      </c>
      <c r="F166" s="9">
        <v>100.7</v>
      </c>
      <c r="G166" s="2" t="s">
        <v>16</v>
      </c>
      <c r="H166" s="2" t="s">
        <v>33</v>
      </c>
      <c r="I166" s="4">
        <v>4</v>
      </c>
      <c r="J166" s="9">
        <f t="shared" si="10"/>
        <v>201.4</v>
      </c>
      <c r="K166" s="9">
        <v>96.67</v>
      </c>
      <c r="L166" s="9">
        <f t="shared" si="11"/>
        <v>104.73</v>
      </c>
      <c r="M166" s="2" t="s">
        <v>28</v>
      </c>
      <c r="N166" s="4" t="s">
        <v>25</v>
      </c>
    </row>
    <row r="167" spans="1:14" ht="15" customHeight="1" x14ac:dyDescent="0.2">
      <c r="A167" s="5">
        <v>1166</v>
      </c>
      <c r="B167" s="6">
        <v>45380</v>
      </c>
      <c r="C167" s="5" t="s">
        <v>47</v>
      </c>
      <c r="D167" s="5" t="s">
        <v>21</v>
      </c>
      <c r="E167" s="5">
        <v>1</v>
      </c>
      <c r="F167" s="10">
        <v>17.600000000000001</v>
      </c>
      <c r="G167" s="5" t="s">
        <v>30</v>
      </c>
      <c r="H167" s="5" t="s">
        <v>23</v>
      </c>
      <c r="I167" s="7">
        <v>5</v>
      </c>
      <c r="J167" s="10">
        <f t="shared" si="10"/>
        <v>17.600000000000001</v>
      </c>
      <c r="K167" s="10">
        <v>7.04</v>
      </c>
      <c r="L167" s="10">
        <f t="shared" si="11"/>
        <v>10.560000000000002</v>
      </c>
      <c r="M167" s="5" t="s">
        <v>28</v>
      </c>
      <c r="N167" s="7" t="s">
        <v>19</v>
      </c>
    </row>
    <row r="168" spans="1:14" ht="15" customHeight="1" x14ac:dyDescent="0.2">
      <c r="A168" s="5">
        <v>1167</v>
      </c>
      <c r="B168" s="6">
        <v>45415</v>
      </c>
      <c r="C168" s="5" t="s">
        <v>41</v>
      </c>
      <c r="D168" s="5" t="s">
        <v>15</v>
      </c>
      <c r="E168" s="5">
        <v>1</v>
      </c>
      <c r="F168" s="10">
        <v>98.95</v>
      </c>
      <c r="G168" s="5" t="s">
        <v>36</v>
      </c>
      <c r="H168" s="5" t="s">
        <v>17</v>
      </c>
      <c r="I168" s="7">
        <v>4</v>
      </c>
      <c r="J168" s="10">
        <f t="shared" si="10"/>
        <v>98.95</v>
      </c>
      <c r="K168" s="10">
        <v>41.56</v>
      </c>
      <c r="L168" s="10">
        <f t="shared" si="11"/>
        <v>57.39</v>
      </c>
      <c r="M168" s="5" t="s">
        <v>39</v>
      </c>
      <c r="N168" s="7" t="s">
        <v>25</v>
      </c>
    </row>
    <row r="169" spans="1:14" ht="15" customHeight="1" x14ac:dyDescent="0.2">
      <c r="A169" s="2">
        <v>1168</v>
      </c>
      <c r="B169" s="3">
        <v>45521</v>
      </c>
      <c r="C169" s="2" t="s">
        <v>31</v>
      </c>
      <c r="D169" s="2" t="s">
        <v>32</v>
      </c>
      <c r="E169" s="2">
        <v>3</v>
      </c>
      <c r="F169" s="9">
        <v>69.2</v>
      </c>
      <c r="G169" s="2" t="s">
        <v>30</v>
      </c>
      <c r="H169" s="2" t="s">
        <v>33</v>
      </c>
      <c r="I169" s="4">
        <v>4</v>
      </c>
      <c r="J169" s="9">
        <f t="shared" si="10"/>
        <v>207.60000000000002</v>
      </c>
      <c r="K169" s="9">
        <v>103.8</v>
      </c>
      <c r="L169" s="9">
        <f t="shared" si="11"/>
        <v>103.80000000000003</v>
      </c>
      <c r="M169" s="2" t="s">
        <v>28</v>
      </c>
      <c r="N169" s="4" t="s">
        <v>25</v>
      </c>
    </row>
    <row r="170" spans="1:14" ht="15" customHeight="1" x14ac:dyDescent="0.2">
      <c r="A170" s="2">
        <v>1169</v>
      </c>
      <c r="B170" s="3">
        <v>45366</v>
      </c>
      <c r="C170" s="2" t="s">
        <v>37</v>
      </c>
      <c r="D170" s="2" t="s">
        <v>15</v>
      </c>
      <c r="E170" s="2">
        <v>1</v>
      </c>
      <c r="F170" s="9">
        <v>47.6</v>
      </c>
      <c r="G170" s="2" t="s">
        <v>30</v>
      </c>
      <c r="H170" s="2" t="s">
        <v>17</v>
      </c>
      <c r="I170" s="4">
        <v>5</v>
      </c>
      <c r="J170" s="9">
        <f t="shared" si="10"/>
        <v>47.6</v>
      </c>
      <c r="K170" s="9">
        <v>19.04</v>
      </c>
      <c r="L170" s="9">
        <f t="shared" si="11"/>
        <v>28.560000000000002</v>
      </c>
      <c r="M170" s="2" t="s">
        <v>28</v>
      </c>
      <c r="N170" s="4" t="s">
        <v>25</v>
      </c>
    </row>
    <row r="171" spans="1:14" ht="15" customHeight="1" x14ac:dyDescent="0.2">
      <c r="A171" s="2">
        <v>1170</v>
      </c>
      <c r="B171" s="3">
        <v>45441</v>
      </c>
      <c r="C171" s="2" t="s">
        <v>42</v>
      </c>
      <c r="D171" s="2" t="s">
        <v>21</v>
      </c>
      <c r="E171" s="2">
        <v>1</v>
      </c>
      <c r="F171" s="9">
        <v>69.95</v>
      </c>
      <c r="G171" s="2" t="s">
        <v>30</v>
      </c>
      <c r="H171" s="2" t="s">
        <v>23</v>
      </c>
      <c r="I171" s="4">
        <v>2</v>
      </c>
      <c r="J171" s="9">
        <f t="shared" si="10"/>
        <v>69.95</v>
      </c>
      <c r="K171" s="9">
        <v>34.979999999999997</v>
      </c>
      <c r="L171" s="9">
        <f t="shared" si="11"/>
        <v>34.970000000000006</v>
      </c>
      <c r="M171" s="2" t="s">
        <v>24</v>
      </c>
      <c r="N171" s="4" t="s">
        <v>19</v>
      </c>
    </row>
    <row r="172" spans="1:14" ht="15" customHeight="1" x14ac:dyDescent="0.2">
      <c r="A172" s="2">
        <v>1171</v>
      </c>
      <c r="B172" s="3">
        <v>45526</v>
      </c>
      <c r="C172" s="2" t="s">
        <v>42</v>
      </c>
      <c r="D172" s="2" t="s">
        <v>21</v>
      </c>
      <c r="E172" s="2">
        <v>1</v>
      </c>
      <c r="F172" s="9">
        <v>71.2</v>
      </c>
      <c r="G172" s="2" t="s">
        <v>36</v>
      </c>
      <c r="H172" s="2" t="s">
        <v>23</v>
      </c>
      <c r="I172" s="4">
        <v>5</v>
      </c>
      <c r="J172" s="9">
        <f t="shared" si="10"/>
        <v>71.2</v>
      </c>
      <c r="K172" s="9">
        <v>35.6</v>
      </c>
      <c r="L172" s="9">
        <f t="shared" si="11"/>
        <v>35.6</v>
      </c>
      <c r="M172" s="2" t="s">
        <v>18</v>
      </c>
      <c r="N172" s="4" t="s">
        <v>25</v>
      </c>
    </row>
    <row r="173" spans="1:14" ht="15" customHeight="1" x14ac:dyDescent="0.2">
      <c r="A173" s="2">
        <v>1172</v>
      </c>
      <c r="B173" s="3">
        <v>45410</v>
      </c>
      <c r="C173" s="2" t="s">
        <v>37</v>
      </c>
      <c r="D173" s="2" t="s">
        <v>15</v>
      </c>
      <c r="E173" s="2">
        <v>1</v>
      </c>
      <c r="F173" s="9">
        <v>31.85</v>
      </c>
      <c r="G173" s="2" t="s">
        <v>30</v>
      </c>
      <c r="H173" s="2" t="s">
        <v>23</v>
      </c>
      <c r="I173" s="4">
        <v>1</v>
      </c>
      <c r="J173" s="9">
        <f t="shared" si="10"/>
        <v>31.85</v>
      </c>
      <c r="K173" s="9">
        <v>12.74</v>
      </c>
      <c r="L173" s="9">
        <f t="shared" si="11"/>
        <v>19.11</v>
      </c>
      <c r="M173" s="2" t="s">
        <v>34</v>
      </c>
      <c r="N173" s="4" t="s">
        <v>25</v>
      </c>
    </row>
    <row r="174" spans="1:14" ht="15" customHeight="1" x14ac:dyDescent="0.2">
      <c r="A174" s="2">
        <v>1173</v>
      </c>
      <c r="B174" s="3">
        <v>45652</v>
      </c>
      <c r="C174" s="2" t="s">
        <v>38</v>
      </c>
      <c r="D174" s="2" t="s">
        <v>32</v>
      </c>
      <c r="E174" s="2">
        <v>1</v>
      </c>
      <c r="F174" s="9">
        <v>75.75</v>
      </c>
      <c r="G174" s="2" t="s">
        <v>30</v>
      </c>
      <c r="H174" s="2" t="s">
        <v>17</v>
      </c>
      <c r="I174" s="4">
        <v>5</v>
      </c>
      <c r="J174" s="9">
        <f t="shared" si="10"/>
        <v>75.75</v>
      </c>
      <c r="K174" s="9">
        <v>39.39</v>
      </c>
      <c r="L174" s="9">
        <f t="shared" si="11"/>
        <v>36.36</v>
      </c>
      <c r="M174" s="2" t="s">
        <v>39</v>
      </c>
      <c r="N174" s="4" t="s">
        <v>25</v>
      </c>
    </row>
    <row r="175" spans="1:14" ht="15" customHeight="1" x14ac:dyDescent="0.2">
      <c r="A175" s="2">
        <v>1174</v>
      </c>
      <c r="B175" s="3">
        <v>45576</v>
      </c>
      <c r="C175" s="2" t="s">
        <v>42</v>
      </c>
      <c r="D175" s="2" t="s">
        <v>21</v>
      </c>
      <c r="E175" s="2">
        <v>1</v>
      </c>
      <c r="F175" s="9">
        <v>52.95</v>
      </c>
      <c r="G175" s="2" t="s">
        <v>30</v>
      </c>
      <c r="H175" s="2" t="s">
        <v>17</v>
      </c>
      <c r="I175" s="4">
        <v>5</v>
      </c>
      <c r="J175" s="9">
        <f t="shared" si="10"/>
        <v>52.95</v>
      </c>
      <c r="K175" s="9">
        <v>26.48</v>
      </c>
      <c r="L175" s="9">
        <f t="shared" si="11"/>
        <v>26.470000000000002</v>
      </c>
      <c r="M175" s="2" t="s">
        <v>18</v>
      </c>
      <c r="N175" s="4" t="s">
        <v>25</v>
      </c>
    </row>
    <row r="176" spans="1:14" ht="15" customHeight="1" x14ac:dyDescent="0.2">
      <c r="A176" s="2">
        <v>1175</v>
      </c>
      <c r="B176" s="3">
        <v>45623</v>
      </c>
      <c r="C176" s="2" t="s">
        <v>37</v>
      </c>
      <c r="D176" s="2" t="s">
        <v>15</v>
      </c>
      <c r="E176" s="2">
        <v>1</v>
      </c>
      <c r="F176" s="9">
        <v>33.9</v>
      </c>
      <c r="G176" s="2" t="s">
        <v>36</v>
      </c>
      <c r="H176" s="2" t="s">
        <v>17</v>
      </c>
      <c r="I176" s="4">
        <v>5</v>
      </c>
      <c r="J176" s="9">
        <f t="shared" si="10"/>
        <v>33.9</v>
      </c>
      <c r="K176" s="9">
        <v>13.56</v>
      </c>
      <c r="L176" s="9">
        <f t="shared" si="11"/>
        <v>20.339999999999996</v>
      </c>
      <c r="M176" s="2" t="s">
        <v>39</v>
      </c>
      <c r="N176" s="4" t="s">
        <v>25</v>
      </c>
    </row>
    <row r="177" spans="1:14" ht="15" customHeight="1" x14ac:dyDescent="0.2">
      <c r="A177" s="5">
        <v>1176</v>
      </c>
      <c r="B177" s="6">
        <v>45419</v>
      </c>
      <c r="C177" s="5" t="s">
        <v>26</v>
      </c>
      <c r="D177" s="5" t="s">
        <v>27</v>
      </c>
      <c r="E177" s="5">
        <v>1</v>
      </c>
      <c r="F177" s="10">
        <v>138.55000000000001</v>
      </c>
      <c r="G177" s="5" t="s">
        <v>16</v>
      </c>
      <c r="H177" s="5" t="s">
        <v>33</v>
      </c>
      <c r="I177" s="7">
        <v>5</v>
      </c>
      <c r="J177" s="10">
        <f t="shared" si="10"/>
        <v>138.55000000000001</v>
      </c>
      <c r="K177" s="10">
        <v>66.5</v>
      </c>
      <c r="L177" s="10">
        <f t="shared" si="11"/>
        <v>72.050000000000011</v>
      </c>
      <c r="M177" s="5" t="s">
        <v>28</v>
      </c>
      <c r="N177" s="7" t="s">
        <v>25</v>
      </c>
    </row>
    <row r="178" spans="1:14" ht="15" customHeight="1" x14ac:dyDescent="0.2">
      <c r="A178" s="5">
        <v>1177</v>
      </c>
      <c r="B178" s="6">
        <v>45564</v>
      </c>
      <c r="C178" s="5" t="s">
        <v>29</v>
      </c>
      <c r="D178" s="5" t="s">
        <v>27</v>
      </c>
      <c r="E178" s="5">
        <v>1</v>
      </c>
      <c r="F178" s="10">
        <v>104.95</v>
      </c>
      <c r="G178" s="5" t="s">
        <v>36</v>
      </c>
      <c r="H178" s="5" t="s">
        <v>33</v>
      </c>
      <c r="I178" s="7">
        <v>5</v>
      </c>
      <c r="J178" s="10">
        <f t="shared" si="10"/>
        <v>104.95</v>
      </c>
      <c r="K178" s="10">
        <v>47.23</v>
      </c>
      <c r="L178" s="10">
        <f t="shared" si="11"/>
        <v>57.720000000000006</v>
      </c>
      <c r="M178" s="5" t="s">
        <v>24</v>
      </c>
      <c r="N178" s="7" t="s">
        <v>25</v>
      </c>
    </row>
    <row r="179" spans="1:14" ht="15" customHeight="1" x14ac:dyDescent="0.2">
      <c r="A179" s="5">
        <v>1178</v>
      </c>
      <c r="B179" s="6">
        <v>45318</v>
      </c>
      <c r="C179" s="5" t="s">
        <v>20</v>
      </c>
      <c r="D179" s="5" t="s">
        <v>21</v>
      </c>
      <c r="E179" s="5">
        <v>2</v>
      </c>
      <c r="F179" s="10">
        <v>21.8</v>
      </c>
      <c r="G179" s="5" t="s">
        <v>16</v>
      </c>
      <c r="H179" s="5" t="s">
        <v>17</v>
      </c>
      <c r="I179" s="7">
        <v>4</v>
      </c>
      <c r="J179" s="10">
        <f t="shared" si="10"/>
        <v>43.6</v>
      </c>
      <c r="K179" s="10">
        <v>13.08</v>
      </c>
      <c r="L179" s="10">
        <f t="shared" si="11"/>
        <v>30.520000000000003</v>
      </c>
      <c r="M179" s="5" t="s">
        <v>39</v>
      </c>
      <c r="N179" s="7" t="s">
        <v>25</v>
      </c>
    </row>
    <row r="180" spans="1:14" ht="15" customHeight="1" x14ac:dyDescent="0.2">
      <c r="A180" s="5">
        <v>1179</v>
      </c>
      <c r="B180" s="6">
        <v>45593</v>
      </c>
      <c r="C180" s="5" t="s">
        <v>40</v>
      </c>
      <c r="D180" s="5" t="s">
        <v>15</v>
      </c>
      <c r="E180" s="5">
        <v>1</v>
      </c>
      <c r="F180" s="10">
        <v>43.7</v>
      </c>
      <c r="G180" s="5" t="s">
        <v>30</v>
      </c>
      <c r="H180" s="5" t="s">
        <v>17</v>
      </c>
      <c r="I180" s="7">
        <v>5</v>
      </c>
      <c r="J180" s="10">
        <f t="shared" si="10"/>
        <v>43.7</v>
      </c>
      <c r="K180" s="10">
        <v>16.61</v>
      </c>
      <c r="L180" s="10">
        <f t="shared" si="11"/>
        <v>27.090000000000003</v>
      </c>
      <c r="M180" s="5" t="s">
        <v>24</v>
      </c>
      <c r="N180" s="7" t="s">
        <v>25</v>
      </c>
    </row>
    <row r="181" spans="1:14" ht="15" customHeight="1" x14ac:dyDescent="0.2">
      <c r="A181" s="5">
        <v>1180</v>
      </c>
      <c r="B181" s="6">
        <v>45652</v>
      </c>
      <c r="C181" s="5" t="s">
        <v>29</v>
      </c>
      <c r="D181" s="5" t="s">
        <v>27</v>
      </c>
      <c r="E181" s="5">
        <v>1</v>
      </c>
      <c r="F181" s="10">
        <v>87.9</v>
      </c>
      <c r="G181" s="5" t="s">
        <v>22</v>
      </c>
      <c r="H181" s="5" t="s">
        <v>23</v>
      </c>
      <c r="I181" s="7">
        <v>4</v>
      </c>
      <c r="J181" s="10">
        <f t="shared" si="10"/>
        <v>87.9</v>
      </c>
      <c r="K181" s="10">
        <v>39.56</v>
      </c>
      <c r="L181" s="10">
        <f t="shared" si="11"/>
        <v>48.34</v>
      </c>
      <c r="M181" s="5" t="s">
        <v>39</v>
      </c>
      <c r="N181" s="7" t="s">
        <v>25</v>
      </c>
    </row>
    <row r="182" spans="1:14" ht="15" customHeight="1" x14ac:dyDescent="0.2">
      <c r="A182" s="5">
        <v>1181</v>
      </c>
      <c r="B182" s="6">
        <v>45398</v>
      </c>
      <c r="C182" s="5" t="s">
        <v>44</v>
      </c>
      <c r="D182" s="5" t="s">
        <v>27</v>
      </c>
      <c r="E182" s="5">
        <v>2</v>
      </c>
      <c r="F182" s="10">
        <v>94.4</v>
      </c>
      <c r="G182" s="5" t="s">
        <v>36</v>
      </c>
      <c r="H182" s="5" t="s">
        <v>17</v>
      </c>
      <c r="I182" s="7">
        <v>5</v>
      </c>
      <c r="J182" s="10">
        <f t="shared" si="10"/>
        <v>188.8</v>
      </c>
      <c r="K182" s="10">
        <v>94.4</v>
      </c>
      <c r="L182" s="10">
        <f t="shared" si="11"/>
        <v>94.4</v>
      </c>
      <c r="M182" s="5" t="s">
        <v>24</v>
      </c>
      <c r="N182" s="7" t="s">
        <v>19</v>
      </c>
    </row>
    <row r="183" spans="1:14" ht="15" customHeight="1" x14ac:dyDescent="0.2">
      <c r="A183" s="5">
        <v>1182</v>
      </c>
      <c r="B183" s="6">
        <v>45442</v>
      </c>
      <c r="C183" s="5" t="s">
        <v>40</v>
      </c>
      <c r="D183" s="5" t="s">
        <v>15</v>
      </c>
      <c r="E183" s="5">
        <v>5</v>
      </c>
      <c r="F183" s="10">
        <v>37.9</v>
      </c>
      <c r="G183" s="5" t="s">
        <v>16</v>
      </c>
      <c r="H183" s="5" t="s">
        <v>17</v>
      </c>
      <c r="I183" s="7">
        <v>4</v>
      </c>
      <c r="J183" s="10">
        <f t="shared" si="10"/>
        <v>189.5</v>
      </c>
      <c r="K183" s="10">
        <v>72.010000000000005</v>
      </c>
      <c r="L183" s="10">
        <f t="shared" si="11"/>
        <v>117.49</v>
      </c>
      <c r="M183" s="5" t="s">
        <v>18</v>
      </c>
      <c r="N183" s="7" t="s">
        <v>25</v>
      </c>
    </row>
    <row r="184" spans="1:14" ht="15" customHeight="1" x14ac:dyDescent="0.2">
      <c r="A184" s="5">
        <v>1183</v>
      </c>
      <c r="B184" s="6">
        <v>45521</v>
      </c>
      <c r="C184" s="5" t="s">
        <v>38</v>
      </c>
      <c r="D184" s="5" t="s">
        <v>32</v>
      </c>
      <c r="E184" s="5">
        <v>1</v>
      </c>
      <c r="F184" s="10">
        <v>72.8</v>
      </c>
      <c r="G184" s="5" t="s">
        <v>43</v>
      </c>
      <c r="H184" s="5" t="s">
        <v>17</v>
      </c>
      <c r="I184" s="7">
        <v>5</v>
      </c>
      <c r="J184" s="10">
        <f t="shared" si="10"/>
        <v>72.8</v>
      </c>
      <c r="K184" s="10">
        <v>37.86</v>
      </c>
      <c r="L184" s="10">
        <f t="shared" si="11"/>
        <v>34.94</v>
      </c>
      <c r="M184" s="5" t="s">
        <v>39</v>
      </c>
      <c r="N184" s="7" t="s">
        <v>25</v>
      </c>
    </row>
    <row r="185" spans="1:14" ht="15" customHeight="1" x14ac:dyDescent="0.2">
      <c r="A185" s="2">
        <v>1184</v>
      </c>
      <c r="B185" s="3">
        <v>45513</v>
      </c>
      <c r="C185" s="2" t="s">
        <v>44</v>
      </c>
      <c r="D185" s="2" t="s">
        <v>27</v>
      </c>
      <c r="E185" s="2">
        <v>1</v>
      </c>
      <c r="F185" s="9">
        <v>124.75</v>
      </c>
      <c r="G185" s="2" t="s">
        <v>45</v>
      </c>
      <c r="H185" s="2" t="s">
        <v>33</v>
      </c>
      <c r="I185" s="4">
        <v>2</v>
      </c>
      <c r="J185" s="9">
        <f t="shared" si="10"/>
        <v>124.75</v>
      </c>
      <c r="K185" s="9">
        <v>62.38</v>
      </c>
      <c r="L185" s="9">
        <f t="shared" si="11"/>
        <v>62.37</v>
      </c>
      <c r="M185" s="2" t="s">
        <v>24</v>
      </c>
      <c r="N185" s="4" t="s">
        <v>19</v>
      </c>
    </row>
    <row r="186" spans="1:14" ht="15" customHeight="1" x14ac:dyDescent="0.2">
      <c r="A186" s="5">
        <v>1185</v>
      </c>
      <c r="B186" s="6">
        <v>45452</v>
      </c>
      <c r="C186" s="5" t="s">
        <v>38</v>
      </c>
      <c r="D186" s="5" t="s">
        <v>32</v>
      </c>
      <c r="E186" s="5">
        <v>1</v>
      </c>
      <c r="F186" s="10">
        <v>49</v>
      </c>
      <c r="G186" s="5" t="s">
        <v>30</v>
      </c>
      <c r="H186" s="5" t="s">
        <v>17</v>
      </c>
      <c r="I186" s="7">
        <v>4</v>
      </c>
      <c r="J186" s="10">
        <f t="shared" si="10"/>
        <v>49</v>
      </c>
      <c r="K186" s="10">
        <v>25.48</v>
      </c>
      <c r="L186" s="10">
        <f t="shared" si="11"/>
        <v>23.52</v>
      </c>
      <c r="M186" s="5" t="s">
        <v>34</v>
      </c>
      <c r="N186" s="7" t="s">
        <v>25</v>
      </c>
    </row>
    <row r="187" spans="1:14" ht="15" customHeight="1" x14ac:dyDescent="0.2">
      <c r="A187" s="5">
        <v>1186</v>
      </c>
      <c r="B187" s="6">
        <v>45610</v>
      </c>
      <c r="C187" s="5" t="s">
        <v>44</v>
      </c>
      <c r="D187" s="5" t="s">
        <v>27</v>
      </c>
      <c r="E187" s="5">
        <v>1</v>
      </c>
      <c r="F187" s="10">
        <v>138.30000000000001</v>
      </c>
      <c r="G187" s="5" t="s">
        <v>30</v>
      </c>
      <c r="H187" s="5" t="s">
        <v>23</v>
      </c>
      <c r="I187" s="7">
        <v>5</v>
      </c>
      <c r="J187" s="10">
        <f t="shared" si="10"/>
        <v>138.30000000000001</v>
      </c>
      <c r="K187" s="10">
        <v>69.150000000000006</v>
      </c>
      <c r="L187" s="10">
        <f t="shared" si="11"/>
        <v>69.150000000000006</v>
      </c>
      <c r="M187" s="5" t="s">
        <v>34</v>
      </c>
      <c r="N187" s="7" t="s">
        <v>25</v>
      </c>
    </row>
    <row r="188" spans="1:14" ht="15" customHeight="1" x14ac:dyDescent="0.2">
      <c r="A188" s="5">
        <v>1187</v>
      </c>
      <c r="B188" s="6">
        <v>45311</v>
      </c>
      <c r="C188" s="5" t="s">
        <v>31</v>
      </c>
      <c r="D188" s="5" t="s">
        <v>32</v>
      </c>
      <c r="E188" s="5">
        <v>1</v>
      </c>
      <c r="F188" s="10">
        <v>77.400000000000006</v>
      </c>
      <c r="G188" s="5" t="s">
        <v>22</v>
      </c>
      <c r="H188" s="5" t="s">
        <v>17</v>
      </c>
      <c r="I188" s="7">
        <v>3</v>
      </c>
      <c r="J188" s="10">
        <f t="shared" si="10"/>
        <v>77.400000000000006</v>
      </c>
      <c r="K188" s="10">
        <v>38.700000000000003</v>
      </c>
      <c r="L188" s="10">
        <f t="shared" si="11"/>
        <v>38.700000000000003</v>
      </c>
      <c r="M188" s="5" t="s">
        <v>18</v>
      </c>
      <c r="N188" s="7" t="s">
        <v>25</v>
      </c>
    </row>
    <row r="189" spans="1:14" ht="15" customHeight="1" x14ac:dyDescent="0.2">
      <c r="A189" s="2">
        <v>1188</v>
      </c>
      <c r="B189" s="3">
        <v>45492</v>
      </c>
      <c r="C189" s="2" t="s">
        <v>31</v>
      </c>
      <c r="D189" s="2" t="s">
        <v>32</v>
      </c>
      <c r="E189" s="2">
        <v>1</v>
      </c>
      <c r="F189" s="9">
        <v>51.9</v>
      </c>
      <c r="G189" s="2" t="s">
        <v>30</v>
      </c>
      <c r="H189" s="2" t="s">
        <v>33</v>
      </c>
      <c r="I189" s="4">
        <v>5</v>
      </c>
      <c r="J189" s="9">
        <f t="shared" si="10"/>
        <v>51.9</v>
      </c>
      <c r="K189" s="9">
        <v>25.95</v>
      </c>
      <c r="L189" s="9">
        <f t="shared" si="11"/>
        <v>25.95</v>
      </c>
      <c r="M189" s="2" t="s">
        <v>34</v>
      </c>
      <c r="N189" s="4" t="s">
        <v>25</v>
      </c>
    </row>
    <row r="190" spans="1:14" ht="15" customHeight="1" x14ac:dyDescent="0.2">
      <c r="A190" s="5">
        <v>1189</v>
      </c>
      <c r="B190" s="6">
        <v>45366</v>
      </c>
      <c r="C190" s="5" t="s">
        <v>44</v>
      </c>
      <c r="D190" s="5" t="s">
        <v>27</v>
      </c>
      <c r="E190" s="5">
        <v>4</v>
      </c>
      <c r="F190" s="10">
        <v>137.55000000000001</v>
      </c>
      <c r="G190" s="5" t="s">
        <v>36</v>
      </c>
      <c r="H190" s="5" t="s">
        <v>23</v>
      </c>
      <c r="I190" s="7">
        <v>4</v>
      </c>
      <c r="J190" s="10">
        <f t="shared" si="10"/>
        <v>550.20000000000005</v>
      </c>
      <c r="K190" s="10">
        <v>275.10000000000002</v>
      </c>
      <c r="L190" s="10">
        <f t="shared" si="11"/>
        <v>275.10000000000002</v>
      </c>
      <c r="M190" s="5" t="s">
        <v>28</v>
      </c>
      <c r="N190" s="7" t="s">
        <v>25</v>
      </c>
    </row>
    <row r="191" spans="1:14" ht="15" customHeight="1" x14ac:dyDescent="0.2">
      <c r="A191" s="5">
        <v>1190</v>
      </c>
      <c r="B191" s="6">
        <v>45494</v>
      </c>
      <c r="C191" s="5" t="s">
        <v>35</v>
      </c>
      <c r="D191" s="5" t="s">
        <v>21</v>
      </c>
      <c r="E191" s="5">
        <v>4</v>
      </c>
      <c r="F191" s="10">
        <v>34.75</v>
      </c>
      <c r="G191" s="5" t="s">
        <v>30</v>
      </c>
      <c r="H191" s="5" t="s">
        <v>17</v>
      </c>
      <c r="I191" s="7">
        <v>5</v>
      </c>
      <c r="J191" s="10">
        <f t="shared" si="10"/>
        <v>139</v>
      </c>
      <c r="K191" s="10">
        <v>62.55</v>
      </c>
      <c r="L191" s="10">
        <f t="shared" si="11"/>
        <v>76.45</v>
      </c>
      <c r="M191" s="5" t="s">
        <v>28</v>
      </c>
      <c r="N191" s="7" t="s">
        <v>25</v>
      </c>
    </row>
    <row r="192" spans="1:14" ht="15" customHeight="1" x14ac:dyDescent="0.2">
      <c r="A192" s="2">
        <v>1191</v>
      </c>
      <c r="B192" s="3">
        <v>45398</v>
      </c>
      <c r="C192" s="2" t="s">
        <v>31</v>
      </c>
      <c r="D192" s="2" t="s">
        <v>32</v>
      </c>
      <c r="E192" s="2">
        <v>1</v>
      </c>
      <c r="F192" s="9">
        <v>43</v>
      </c>
      <c r="G192" s="2" t="s">
        <v>45</v>
      </c>
      <c r="H192" s="2" t="s">
        <v>17</v>
      </c>
      <c r="I192" s="4">
        <v>3</v>
      </c>
      <c r="J192" s="9">
        <f t="shared" si="10"/>
        <v>43</v>
      </c>
      <c r="K192" s="9">
        <v>21.5</v>
      </c>
      <c r="L192" s="9">
        <f t="shared" si="11"/>
        <v>21.5</v>
      </c>
      <c r="M192" s="2" t="s">
        <v>39</v>
      </c>
      <c r="N192" s="4" t="s">
        <v>25</v>
      </c>
    </row>
    <row r="193" spans="1:14" ht="15" customHeight="1" x14ac:dyDescent="0.2">
      <c r="A193" s="5">
        <v>1192</v>
      </c>
      <c r="B193" s="6">
        <v>45637</v>
      </c>
      <c r="C193" s="5" t="s">
        <v>42</v>
      </c>
      <c r="D193" s="5" t="s">
        <v>21</v>
      </c>
      <c r="E193" s="5">
        <v>2</v>
      </c>
      <c r="F193" s="10">
        <v>41.9</v>
      </c>
      <c r="G193" s="5" t="s">
        <v>45</v>
      </c>
      <c r="H193" s="5" t="s">
        <v>23</v>
      </c>
      <c r="I193" s="7">
        <v>4</v>
      </c>
      <c r="J193" s="10">
        <f t="shared" si="10"/>
        <v>83.8</v>
      </c>
      <c r="K193" s="10">
        <v>41.9</v>
      </c>
      <c r="L193" s="10">
        <f t="shared" si="11"/>
        <v>41.9</v>
      </c>
      <c r="M193" s="5" t="s">
        <v>34</v>
      </c>
      <c r="N193" s="7" t="s">
        <v>25</v>
      </c>
    </row>
    <row r="194" spans="1:14" ht="15" customHeight="1" x14ac:dyDescent="0.2">
      <c r="A194" s="5">
        <v>1193</v>
      </c>
      <c r="B194" s="6">
        <v>45481</v>
      </c>
      <c r="C194" s="5" t="s">
        <v>20</v>
      </c>
      <c r="D194" s="5" t="s">
        <v>21</v>
      </c>
      <c r="E194" s="5">
        <v>1</v>
      </c>
      <c r="F194" s="10">
        <v>17.25</v>
      </c>
      <c r="G194" s="5" t="s">
        <v>30</v>
      </c>
      <c r="H194" s="5" t="s">
        <v>33</v>
      </c>
      <c r="I194" s="7">
        <v>4</v>
      </c>
      <c r="J194" s="10">
        <f t="shared" ref="J194:J201" si="12">E194*F194</f>
        <v>17.25</v>
      </c>
      <c r="K194" s="10">
        <v>5.17</v>
      </c>
      <c r="L194" s="10">
        <f t="shared" ref="L194:L225" si="13">J194-K194</f>
        <v>12.08</v>
      </c>
      <c r="M194" s="5" t="s">
        <v>18</v>
      </c>
      <c r="N194" s="7" t="s">
        <v>25</v>
      </c>
    </row>
    <row r="195" spans="1:14" ht="15" customHeight="1" x14ac:dyDescent="0.2">
      <c r="A195" s="5">
        <v>1194</v>
      </c>
      <c r="B195" s="6">
        <v>45484</v>
      </c>
      <c r="C195" s="5" t="s">
        <v>14</v>
      </c>
      <c r="D195" s="5" t="s">
        <v>15</v>
      </c>
      <c r="E195" s="5">
        <v>1</v>
      </c>
      <c r="F195" s="10">
        <v>39.799999999999997</v>
      </c>
      <c r="G195" s="5" t="s">
        <v>16</v>
      </c>
      <c r="H195" s="5" t="s">
        <v>17</v>
      </c>
      <c r="I195" s="7">
        <v>4</v>
      </c>
      <c r="J195" s="10">
        <f t="shared" si="12"/>
        <v>39.799999999999997</v>
      </c>
      <c r="K195" s="10">
        <v>13.93</v>
      </c>
      <c r="L195" s="10">
        <f t="shared" si="13"/>
        <v>25.869999999999997</v>
      </c>
      <c r="M195" s="5" t="s">
        <v>28</v>
      </c>
      <c r="N195" s="7" t="s">
        <v>25</v>
      </c>
    </row>
    <row r="196" spans="1:14" ht="15" customHeight="1" x14ac:dyDescent="0.2">
      <c r="A196" s="2">
        <v>1195</v>
      </c>
      <c r="B196" s="3">
        <v>45565</v>
      </c>
      <c r="C196" s="2" t="s">
        <v>44</v>
      </c>
      <c r="D196" s="2" t="s">
        <v>27</v>
      </c>
      <c r="E196" s="2">
        <v>1</v>
      </c>
      <c r="F196" s="9">
        <v>132.85</v>
      </c>
      <c r="G196" s="2" t="s">
        <v>36</v>
      </c>
      <c r="H196" s="2" t="s">
        <v>23</v>
      </c>
      <c r="I196" s="4">
        <v>4</v>
      </c>
      <c r="J196" s="9">
        <f t="shared" si="12"/>
        <v>132.85</v>
      </c>
      <c r="K196" s="9">
        <v>66.42</v>
      </c>
      <c r="L196" s="9">
        <f t="shared" si="13"/>
        <v>66.429999999999993</v>
      </c>
      <c r="M196" s="2" t="s">
        <v>39</v>
      </c>
      <c r="N196" s="4" t="s">
        <v>25</v>
      </c>
    </row>
    <row r="197" spans="1:14" ht="15" customHeight="1" x14ac:dyDescent="0.2">
      <c r="A197" s="2">
        <v>1196</v>
      </c>
      <c r="B197" s="3">
        <v>45472</v>
      </c>
      <c r="C197" s="2" t="s">
        <v>47</v>
      </c>
      <c r="D197" s="2" t="s">
        <v>21</v>
      </c>
      <c r="E197" s="2">
        <v>4</v>
      </c>
      <c r="F197" s="9">
        <v>16.5</v>
      </c>
      <c r="G197" s="2" t="s">
        <v>22</v>
      </c>
      <c r="H197" s="2" t="s">
        <v>17</v>
      </c>
      <c r="I197" s="4">
        <v>3</v>
      </c>
      <c r="J197" s="9">
        <f t="shared" si="12"/>
        <v>66</v>
      </c>
      <c r="K197" s="9">
        <v>26.4</v>
      </c>
      <c r="L197" s="9">
        <f t="shared" si="13"/>
        <v>39.6</v>
      </c>
      <c r="M197" s="2" t="s">
        <v>28</v>
      </c>
      <c r="N197" s="4" t="s">
        <v>25</v>
      </c>
    </row>
    <row r="198" spans="1:14" ht="15" customHeight="1" x14ac:dyDescent="0.2">
      <c r="A198" s="2">
        <v>1197</v>
      </c>
      <c r="B198" s="3">
        <v>45359</v>
      </c>
      <c r="C198" s="2" t="s">
        <v>20</v>
      </c>
      <c r="D198" s="2" t="s">
        <v>21</v>
      </c>
      <c r="E198" s="2">
        <v>1</v>
      </c>
      <c r="F198" s="9">
        <v>23.5</v>
      </c>
      <c r="G198" s="2" t="s">
        <v>45</v>
      </c>
      <c r="H198" s="2" t="s">
        <v>17</v>
      </c>
      <c r="I198" s="4">
        <v>4</v>
      </c>
      <c r="J198" s="9">
        <f t="shared" si="12"/>
        <v>23.5</v>
      </c>
      <c r="K198" s="9">
        <v>7.05</v>
      </c>
      <c r="L198" s="9">
        <f t="shared" si="13"/>
        <v>16.45</v>
      </c>
      <c r="M198" s="2" t="s">
        <v>24</v>
      </c>
      <c r="N198" s="4" t="s">
        <v>25</v>
      </c>
    </row>
    <row r="199" spans="1:14" ht="15" customHeight="1" x14ac:dyDescent="0.2">
      <c r="A199" s="5">
        <v>1198</v>
      </c>
      <c r="B199" s="6">
        <v>45336</v>
      </c>
      <c r="C199" s="5" t="s">
        <v>44</v>
      </c>
      <c r="D199" s="5" t="s">
        <v>27</v>
      </c>
      <c r="E199" s="5">
        <v>2</v>
      </c>
      <c r="F199" s="10">
        <v>112.6</v>
      </c>
      <c r="G199" s="5" t="s">
        <v>36</v>
      </c>
      <c r="H199" s="5" t="s">
        <v>23</v>
      </c>
      <c r="I199" s="7">
        <v>3</v>
      </c>
      <c r="J199" s="10">
        <f t="shared" si="12"/>
        <v>225.2</v>
      </c>
      <c r="K199" s="10">
        <v>112.6</v>
      </c>
      <c r="L199" s="10">
        <f t="shared" si="13"/>
        <v>112.6</v>
      </c>
      <c r="M199" s="5" t="s">
        <v>34</v>
      </c>
      <c r="N199" s="7" t="s">
        <v>25</v>
      </c>
    </row>
    <row r="200" spans="1:14" ht="15" customHeight="1" x14ac:dyDescent="0.2">
      <c r="A200" s="5">
        <v>1199</v>
      </c>
      <c r="B200" s="6">
        <v>45599</v>
      </c>
      <c r="C200" s="5" t="s">
        <v>20</v>
      </c>
      <c r="D200" s="5" t="s">
        <v>21</v>
      </c>
      <c r="E200" s="5">
        <v>2</v>
      </c>
      <c r="F200" s="10">
        <v>16.95</v>
      </c>
      <c r="G200" s="5" t="s">
        <v>16</v>
      </c>
      <c r="H200" s="5" t="s">
        <v>17</v>
      </c>
      <c r="I200" s="7">
        <v>5</v>
      </c>
      <c r="J200" s="10">
        <f t="shared" si="12"/>
        <v>33.9</v>
      </c>
      <c r="K200" s="10">
        <v>10.17</v>
      </c>
      <c r="L200" s="10">
        <f t="shared" si="13"/>
        <v>23.729999999999997</v>
      </c>
      <c r="M200" s="5" t="s">
        <v>18</v>
      </c>
      <c r="N200" s="7" t="s">
        <v>25</v>
      </c>
    </row>
    <row r="201" spans="1:14" ht="15" customHeight="1" x14ac:dyDescent="0.2">
      <c r="A201" s="2">
        <v>1200</v>
      </c>
      <c r="B201" s="3">
        <v>45310</v>
      </c>
      <c r="C201" s="2" t="s">
        <v>35</v>
      </c>
      <c r="D201" s="2" t="s">
        <v>21</v>
      </c>
      <c r="E201" s="2">
        <v>3</v>
      </c>
      <c r="F201" s="9">
        <v>46.85</v>
      </c>
      <c r="G201" s="2" t="s">
        <v>36</v>
      </c>
      <c r="H201" s="2" t="s">
        <v>23</v>
      </c>
      <c r="I201" s="4">
        <v>2</v>
      </c>
      <c r="J201" s="9">
        <f t="shared" si="12"/>
        <v>140.55000000000001</v>
      </c>
      <c r="K201" s="9">
        <v>63.25</v>
      </c>
      <c r="L201" s="9">
        <f t="shared" si="13"/>
        <v>77.300000000000011</v>
      </c>
      <c r="M201" s="2" t="s">
        <v>24</v>
      </c>
      <c r="N201" s="4" t="s">
        <v>19</v>
      </c>
    </row>
  </sheetData>
  <autoFilter ref="A1:N201" xr:uid="{00000000-0009-0000-0000-000000000000}">
    <sortState xmlns:xlrd2="http://schemas.microsoft.com/office/spreadsheetml/2017/richdata2" ref="A2:N201">
      <sortCondition ref="A1:A201"/>
    </sortState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Antonio Perez Jarillo</cp:lastModifiedBy>
  <cp:revision>0</cp:revision>
  <dcterms:created xsi:type="dcterms:W3CDTF">2026-02-17T20:36:55Z</dcterms:created>
  <dcterms:modified xsi:type="dcterms:W3CDTF">2026-03-04T12:27:37Z</dcterms:modified>
  <dc:language>en-US</dc:language>
</cp:coreProperties>
</file>